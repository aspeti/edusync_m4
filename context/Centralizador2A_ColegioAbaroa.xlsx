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codeName="ThisWorkbook" defaultThemeVersion="124226"/>
  <mc:AlternateContent xmlns:mc="http://schemas.openxmlformats.org/markup-compatibility/2006">
    <mc:Choice Requires="x15">
      <x15ac:absPath xmlns:x15ac="http://schemas.microsoft.com/office/spreadsheetml/2010/11/ac" url="C:\Users\Admin\Downloads\AbaroaMayo\"/>
    </mc:Choice>
  </mc:AlternateContent>
  <xr:revisionPtr revIDLastSave="0" documentId="13_ncr:1_{9C4183BD-9BC8-45D8-90A2-5BFAD4079143}" xr6:coauthVersionLast="47" xr6:coauthVersionMax="47" xr10:uidLastSave="{00000000-0000-0000-0000-000000000000}"/>
  <bookViews>
    <workbookView xWindow="-28920" yWindow="-120" windowWidth="29040" windowHeight="16440" tabRatio="886" activeTab="15" xr2:uid="{00000000-000D-0000-FFFF-FFFF00000000}"/>
  </bookViews>
  <sheets>
    <sheet name="NOMINA" sheetId="1" r:id="rId1"/>
    <sheet name="LEN" sheetId="2" r:id="rId2"/>
    <sheet name="ING" sheetId="3" r:id="rId3"/>
    <sheet name="C.SOC" sheetId="4" r:id="rId4"/>
    <sheet name="E. FIS." sheetId="6" r:id="rId5"/>
    <sheet name="MUS." sheetId="7" r:id="rId6"/>
    <sheet name="A.PL. " sheetId="8" r:id="rId7"/>
    <sheet name="MAT" sheetId="10" r:id="rId8"/>
    <sheet name="T. TEC. GRAL" sheetId="11" r:id="rId9"/>
    <sheet name="BIO-GEO" sheetId="12" r:id="rId10"/>
    <sheet name="PSI" sheetId="14" r:id="rId11"/>
    <sheet name="REL." sheetId="15" r:id="rId12"/>
    <sheet name="BOLET." sheetId="19" r:id="rId13"/>
    <sheet name="PROM." sheetId="20" r:id="rId14"/>
    <sheet name="GRAL." sheetId="21" r:id="rId15"/>
    <sheet name="REP 1°" sheetId="31" r:id="rId16"/>
    <sheet name="REP 2°" sheetId="29" r:id="rId17"/>
    <sheet name="REP 3°" sheetId="32" r:id="rId18"/>
    <sheet name="REP.FINAL" sheetId="22" r:id="rId19"/>
    <sheet name="GRAF." sheetId="23" r:id="rId20"/>
    <sheet name="ANUAL" sheetId="24" r:id="rId21"/>
    <sheet name="GRAL. (2)" sheetId="26" r:id="rId22"/>
    <sheet name="Hoja1" sheetId="27" r:id="rId23"/>
  </sheets>
  <externalReferences>
    <externalReference r:id="rId24"/>
  </externalReferences>
  <calcPr calcId="191029"/>
  <customWorkbookViews>
    <customWorkbookView name="Admin - Vista personalizada" guid="{2AA0188C-879C-4D95-82F5-15F4B34AA912}" mergeInterval="0" personalView="1" maximized="1" xWindow="1" yWindow="1" windowWidth="1440" windowHeight="679" tabRatio="712" activeSheetId="5"/>
  </customWorkbookViews>
</workbook>
</file>

<file path=xl/calcChain.xml><?xml version="1.0" encoding="utf-8"?>
<calcChain xmlns="http://schemas.openxmlformats.org/spreadsheetml/2006/main">
  <c r="N46" i="31" l="1"/>
  <c r="I6" i="20"/>
  <c r="I7" i="20"/>
  <c r="I8" i="20"/>
  <c r="I9" i="20"/>
  <c r="I10" i="20"/>
  <c r="I11" i="20"/>
  <c r="I12" i="20"/>
  <c r="I13" i="20"/>
  <c r="I14" i="20"/>
  <c r="I15" i="20"/>
  <c r="I16" i="20"/>
  <c r="I17" i="20"/>
  <c r="I18" i="20"/>
  <c r="I19" i="20"/>
  <c r="I20" i="20"/>
  <c r="I21" i="20"/>
  <c r="I22" i="20"/>
  <c r="I23" i="20"/>
  <c r="I24" i="20"/>
  <c r="I25" i="20"/>
  <c r="I26" i="20"/>
  <c r="I27" i="20"/>
  <c r="I28" i="20"/>
  <c r="I29" i="20"/>
  <c r="I30" i="20"/>
  <c r="I31" i="20"/>
  <c r="I32" i="20"/>
  <c r="I33" i="20"/>
  <c r="I34" i="20"/>
  <c r="I35" i="20"/>
  <c r="I36" i="20"/>
  <c r="I37" i="20"/>
  <c r="I38" i="20"/>
  <c r="I39" i="20"/>
  <c r="I40" i="20"/>
  <c r="I41" i="20"/>
  <c r="I42" i="20"/>
  <c r="I43" i="20"/>
  <c r="I44" i="20"/>
  <c r="I45" i="20"/>
  <c r="I46" i="20"/>
  <c r="I47" i="20"/>
  <c r="I48" i="20"/>
  <c r="I49" i="20"/>
  <c r="G6" i="20"/>
  <c r="G7" i="20"/>
  <c r="G8" i="20"/>
  <c r="G9" i="20"/>
  <c r="G10" i="20"/>
  <c r="G11" i="20"/>
  <c r="G12" i="20"/>
  <c r="G13" i="20"/>
  <c r="G14" i="20"/>
  <c r="G15" i="20"/>
  <c r="G16" i="20"/>
  <c r="G17" i="20"/>
  <c r="G18" i="20"/>
  <c r="G19" i="20"/>
  <c r="G20" i="20"/>
  <c r="G21" i="20"/>
  <c r="G22" i="20"/>
  <c r="G23" i="20"/>
  <c r="G24" i="20"/>
  <c r="G25" i="20"/>
  <c r="G26" i="20"/>
  <c r="G27" i="20"/>
  <c r="G28" i="20"/>
  <c r="G29" i="20"/>
  <c r="G30" i="20"/>
  <c r="G31" i="20"/>
  <c r="G32" i="20"/>
  <c r="G33" i="20"/>
  <c r="G34" i="20"/>
  <c r="G35" i="20"/>
  <c r="G36" i="20"/>
  <c r="G37" i="20"/>
  <c r="G38" i="20"/>
  <c r="G39" i="20"/>
  <c r="G40" i="20"/>
  <c r="G41" i="20"/>
  <c r="G42" i="20"/>
  <c r="G43" i="20"/>
  <c r="G44" i="20"/>
  <c r="G45" i="20"/>
  <c r="G46" i="20"/>
  <c r="G47" i="20"/>
  <c r="G48" i="20"/>
  <c r="G49" i="20"/>
  <c r="G5" i="20"/>
  <c r="D6" i="20"/>
  <c r="E6" i="20"/>
  <c r="F6" i="20"/>
  <c r="D7" i="20"/>
  <c r="E7" i="20"/>
  <c r="F7" i="20"/>
  <c r="D8" i="20"/>
  <c r="E8" i="20"/>
  <c r="F8" i="20"/>
  <c r="D9" i="20"/>
  <c r="E9" i="20"/>
  <c r="F9" i="20"/>
  <c r="D10" i="20"/>
  <c r="E10" i="20"/>
  <c r="F10" i="20"/>
  <c r="D11" i="20"/>
  <c r="E11" i="20"/>
  <c r="F11" i="20"/>
  <c r="D12" i="20"/>
  <c r="E12" i="20"/>
  <c r="F12" i="20"/>
  <c r="D13" i="20"/>
  <c r="E13" i="20"/>
  <c r="F13" i="20"/>
  <c r="D14" i="20"/>
  <c r="E14" i="20"/>
  <c r="F14" i="20"/>
  <c r="D15" i="20"/>
  <c r="E15" i="20"/>
  <c r="F15" i="20"/>
  <c r="D16" i="20"/>
  <c r="E16" i="20"/>
  <c r="F16" i="20"/>
  <c r="D17" i="20"/>
  <c r="E17" i="20"/>
  <c r="F17" i="20"/>
  <c r="D18" i="20"/>
  <c r="E18" i="20"/>
  <c r="F18" i="20"/>
  <c r="D19" i="20"/>
  <c r="E19" i="20"/>
  <c r="F19" i="20"/>
  <c r="D20" i="20"/>
  <c r="E20" i="20"/>
  <c r="F20" i="20"/>
  <c r="D21" i="20"/>
  <c r="E21" i="20"/>
  <c r="F21" i="20"/>
  <c r="D22" i="20"/>
  <c r="E22" i="20"/>
  <c r="F22" i="20"/>
  <c r="D23" i="20"/>
  <c r="E23" i="20"/>
  <c r="F23" i="20"/>
  <c r="D24" i="20"/>
  <c r="E24" i="20"/>
  <c r="F24" i="20"/>
  <c r="D25" i="20"/>
  <c r="E25" i="20"/>
  <c r="F25" i="20"/>
  <c r="D26" i="20"/>
  <c r="E26" i="20"/>
  <c r="F26" i="20"/>
  <c r="D27" i="20"/>
  <c r="E27" i="20"/>
  <c r="F27" i="20"/>
  <c r="D28" i="20"/>
  <c r="E28" i="20"/>
  <c r="F28" i="20"/>
  <c r="D29" i="20"/>
  <c r="E29" i="20"/>
  <c r="F29" i="20"/>
  <c r="D30" i="20"/>
  <c r="E30" i="20"/>
  <c r="F30" i="20"/>
  <c r="D31" i="20"/>
  <c r="E31" i="20"/>
  <c r="F31" i="20"/>
  <c r="D32" i="20"/>
  <c r="E32" i="20"/>
  <c r="F32" i="20"/>
  <c r="D33" i="20"/>
  <c r="E33" i="20"/>
  <c r="F33" i="20"/>
  <c r="D34" i="20"/>
  <c r="E34" i="20"/>
  <c r="F34" i="20"/>
  <c r="D35" i="20"/>
  <c r="E35" i="20"/>
  <c r="F35" i="20"/>
  <c r="D36" i="20"/>
  <c r="E36" i="20"/>
  <c r="F36" i="20"/>
  <c r="D37" i="20"/>
  <c r="E37" i="20"/>
  <c r="F37" i="20"/>
  <c r="D38" i="20"/>
  <c r="E38" i="20"/>
  <c r="F38" i="20"/>
  <c r="D39" i="20"/>
  <c r="E39" i="20"/>
  <c r="F39" i="20"/>
  <c r="D40" i="20"/>
  <c r="E40" i="20"/>
  <c r="F40" i="20"/>
  <c r="D41" i="20"/>
  <c r="E41" i="20"/>
  <c r="F41" i="20"/>
  <c r="D42" i="20"/>
  <c r="E42" i="20"/>
  <c r="F42" i="20"/>
  <c r="D43" i="20"/>
  <c r="E43" i="20"/>
  <c r="F43" i="20"/>
  <c r="D44" i="20"/>
  <c r="E44" i="20"/>
  <c r="F44" i="20"/>
  <c r="D45" i="20"/>
  <c r="E45" i="20"/>
  <c r="F45" i="20"/>
  <c r="D46" i="20"/>
  <c r="E46" i="20"/>
  <c r="F46" i="20"/>
  <c r="D47" i="20"/>
  <c r="E47" i="20"/>
  <c r="F47" i="20"/>
  <c r="D48" i="20"/>
  <c r="E48" i="20"/>
  <c r="F48" i="20"/>
  <c r="D49" i="20"/>
  <c r="E49" i="20"/>
  <c r="F49" i="20"/>
  <c r="E5" i="20"/>
  <c r="F5" i="20"/>
  <c r="D5" i="20"/>
  <c r="AN6" i="21"/>
  <c r="AN7" i="21"/>
  <c r="AN8" i="21"/>
  <c r="AN9" i="21"/>
  <c r="AN10" i="21"/>
  <c r="AN11" i="21"/>
  <c r="AN12" i="21"/>
  <c r="AN13" i="21"/>
  <c r="AN14" i="21"/>
  <c r="AN15" i="21"/>
  <c r="AN16" i="21"/>
  <c r="AN17" i="21"/>
  <c r="AN18" i="21"/>
  <c r="AN19" i="21"/>
  <c r="AN20" i="21"/>
  <c r="AN21" i="21"/>
  <c r="AN22" i="21"/>
  <c r="AN23" i="21"/>
  <c r="AN24" i="21"/>
  <c r="AN25" i="21"/>
  <c r="AN26" i="21"/>
  <c r="AN27" i="21"/>
  <c r="AN28" i="21"/>
  <c r="AN29" i="21"/>
  <c r="AN30" i="21"/>
  <c r="AN31" i="21"/>
  <c r="AN32" i="21"/>
  <c r="AN33" i="21"/>
  <c r="AN34" i="21"/>
  <c r="AN35" i="21"/>
  <c r="AN36" i="21"/>
  <c r="AN37" i="21"/>
  <c r="AN38" i="21"/>
  <c r="AN39" i="21"/>
  <c r="AN40" i="21"/>
  <c r="AN41" i="21"/>
  <c r="AN42" i="21"/>
  <c r="AN43" i="21"/>
  <c r="AN44" i="21"/>
  <c r="AN45" i="21"/>
  <c r="AM6" i="21"/>
  <c r="AM7" i="21"/>
  <c r="AM8" i="21"/>
  <c r="AM9" i="21"/>
  <c r="AM10" i="21"/>
  <c r="AM11" i="21"/>
  <c r="AM12" i="21"/>
  <c r="AM13" i="21"/>
  <c r="AM14" i="21"/>
  <c r="AM15" i="21"/>
  <c r="AM16" i="21"/>
  <c r="AM17" i="21"/>
  <c r="AM18" i="21"/>
  <c r="AM19" i="21"/>
  <c r="AM20" i="21"/>
  <c r="AM21" i="21"/>
  <c r="AM22" i="21"/>
  <c r="AM23" i="21"/>
  <c r="AM24" i="21"/>
  <c r="AM25" i="21"/>
  <c r="AM26" i="21"/>
  <c r="AM27" i="21"/>
  <c r="AM28" i="21"/>
  <c r="AM29" i="21"/>
  <c r="AM30" i="21"/>
  <c r="AM31" i="21"/>
  <c r="AM32" i="21"/>
  <c r="AM33" i="21"/>
  <c r="AM34" i="21"/>
  <c r="AM35" i="21"/>
  <c r="AM36" i="21"/>
  <c r="AM37" i="21"/>
  <c r="AM38" i="21"/>
  <c r="AM39" i="21"/>
  <c r="AM40" i="21"/>
  <c r="AM41" i="21"/>
  <c r="AM42" i="21"/>
  <c r="AM43" i="21"/>
  <c r="AM44" i="21"/>
  <c r="AM45" i="21"/>
  <c r="AL6" i="21"/>
  <c r="AL7" i="21"/>
  <c r="AL8" i="21"/>
  <c r="AL9" i="21"/>
  <c r="AL10" i="21"/>
  <c r="AL11" i="21"/>
  <c r="AL12" i="21"/>
  <c r="AL13" i="21"/>
  <c r="AL14" i="21"/>
  <c r="AL15" i="21"/>
  <c r="AL16" i="21"/>
  <c r="AL17" i="21"/>
  <c r="AL18" i="21"/>
  <c r="AL19" i="21"/>
  <c r="AL20" i="21"/>
  <c r="AL21" i="21"/>
  <c r="AL22" i="21"/>
  <c r="AL23" i="21"/>
  <c r="AL24" i="21"/>
  <c r="AL25" i="21"/>
  <c r="AL26" i="21"/>
  <c r="AL27" i="21"/>
  <c r="AL28" i="21"/>
  <c r="AL29" i="21"/>
  <c r="AL30" i="21"/>
  <c r="AL31" i="21"/>
  <c r="AL32" i="21"/>
  <c r="AL33" i="21"/>
  <c r="AL34" i="21"/>
  <c r="AL35" i="21"/>
  <c r="AL36" i="21"/>
  <c r="AL37" i="21"/>
  <c r="AL38" i="21"/>
  <c r="AL39" i="21"/>
  <c r="AL40" i="21"/>
  <c r="AL41" i="21"/>
  <c r="AL42" i="21"/>
  <c r="AL43" i="21"/>
  <c r="AL44" i="21"/>
  <c r="AL45" i="21"/>
  <c r="AN5" i="21"/>
  <c r="AM5" i="21"/>
  <c r="AL5" i="21"/>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F6" i="15"/>
  <c r="F44" i="12" l="1"/>
  <c r="AL42" i="26" s="1"/>
  <c r="F45" i="12"/>
  <c r="F46" i="12"/>
  <c r="K44" i="24" s="1"/>
  <c r="F47" i="12"/>
  <c r="F48" i="12"/>
  <c r="F49" i="12"/>
  <c r="F50" i="12"/>
  <c r="F45" i="8"/>
  <c r="Z43" i="26" s="1"/>
  <c r="F46" i="8"/>
  <c r="F47" i="8"/>
  <c r="F48" i="8"/>
  <c r="F49" i="8"/>
  <c r="F50" i="4"/>
  <c r="F46" i="4"/>
  <c r="E44" i="24" s="1"/>
  <c r="F47" i="4"/>
  <c r="F48" i="4"/>
  <c r="F49" i="4"/>
  <c r="F44" i="3"/>
  <c r="F45" i="3"/>
  <c r="F46" i="3"/>
  <c r="D43" i="22" s="1"/>
  <c r="F47" i="3"/>
  <c r="F48" i="3"/>
  <c r="F49" i="3"/>
  <c r="F50" i="3"/>
  <c r="B48" i="2"/>
  <c r="B49" i="2"/>
  <c r="B50" i="2"/>
  <c r="B47" i="2"/>
  <c r="C44" i="26"/>
  <c r="D44" i="26"/>
  <c r="E44" i="26"/>
  <c r="G44" i="26"/>
  <c r="H44" i="26"/>
  <c r="I44" i="26"/>
  <c r="K44" i="26"/>
  <c r="L44" i="26"/>
  <c r="M44" i="26"/>
  <c r="N44" i="26"/>
  <c r="O44" i="26"/>
  <c r="P44" i="26"/>
  <c r="Q44" i="26"/>
  <c r="S44" i="26"/>
  <c r="T44" i="26"/>
  <c r="U44" i="26"/>
  <c r="W44" i="26"/>
  <c r="X44" i="26"/>
  <c r="Y44" i="26"/>
  <c r="AA44" i="26"/>
  <c r="AB44" i="26"/>
  <c r="AC44" i="26"/>
  <c r="AE44" i="26"/>
  <c r="AF44" i="26"/>
  <c r="AG44" i="26"/>
  <c r="AI44" i="26"/>
  <c r="AJ44" i="26"/>
  <c r="AK44" i="26"/>
  <c r="AL44" i="26"/>
  <c r="AM44" i="26"/>
  <c r="AN44" i="26"/>
  <c r="AO44" i="26"/>
  <c r="AQ44" i="26"/>
  <c r="C5" i="26"/>
  <c r="D5" i="26"/>
  <c r="E5" i="26"/>
  <c r="G5" i="26"/>
  <c r="H5" i="26"/>
  <c r="I5" i="26"/>
  <c r="K5" i="26"/>
  <c r="L5" i="26"/>
  <c r="M5" i="26"/>
  <c r="O5" i="26"/>
  <c r="P5" i="26"/>
  <c r="Q5" i="26"/>
  <c r="S5" i="26"/>
  <c r="T5" i="26"/>
  <c r="U5" i="26"/>
  <c r="W5" i="26"/>
  <c r="X5" i="26"/>
  <c r="Y5" i="26"/>
  <c r="AA5" i="26"/>
  <c r="AB5" i="26"/>
  <c r="AC5" i="26"/>
  <c r="AE5" i="26"/>
  <c r="AF5" i="26"/>
  <c r="AG5" i="26"/>
  <c r="AI5" i="26"/>
  <c r="AJ5" i="26"/>
  <c r="AK5" i="26"/>
  <c r="AM5" i="26"/>
  <c r="AN5" i="26"/>
  <c r="AO5" i="26"/>
  <c r="AQ5" i="26"/>
  <c r="C6" i="26"/>
  <c r="D6" i="26"/>
  <c r="E6" i="26"/>
  <c r="G6" i="26"/>
  <c r="H6" i="26"/>
  <c r="I6" i="26"/>
  <c r="K6" i="26"/>
  <c r="L6" i="26"/>
  <c r="M6" i="26"/>
  <c r="O6" i="26"/>
  <c r="P6" i="26"/>
  <c r="Q6" i="26"/>
  <c r="S6" i="26"/>
  <c r="T6" i="26"/>
  <c r="U6" i="26"/>
  <c r="W6" i="26"/>
  <c r="X6" i="26"/>
  <c r="Y6" i="26"/>
  <c r="AA6" i="26"/>
  <c r="AB6" i="26"/>
  <c r="AC6" i="26"/>
  <c r="AE6" i="26"/>
  <c r="AF6" i="26"/>
  <c r="AG6" i="26"/>
  <c r="AI6" i="26"/>
  <c r="AJ6" i="26"/>
  <c r="AK6" i="26"/>
  <c r="AM6" i="26"/>
  <c r="AN6" i="26"/>
  <c r="AO6" i="26"/>
  <c r="AQ6" i="26"/>
  <c r="C7" i="26"/>
  <c r="D7" i="26"/>
  <c r="E7" i="26"/>
  <c r="G7" i="26"/>
  <c r="H7" i="26"/>
  <c r="I7" i="26"/>
  <c r="K7" i="26"/>
  <c r="L7" i="26"/>
  <c r="M7" i="26"/>
  <c r="O7" i="26"/>
  <c r="P7" i="26"/>
  <c r="Q7" i="26"/>
  <c r="S7" i="26"/>
  <c r="T7" i="26"/>
  <c r="U7" i="26"/>
  <c r="W7" i="26"/>
  <c r="X7" i="26"/>
  <c r="Y7" i="26"/>
  <c r="AA7" i="26"/>
  <c r="AB7" i="26"/>
  <c r="AC7" i="26"/>
  <c r="AE7" i="26"/>
  <c r="AF7" i="26"/>
  <c r="AG7" i="26"/>
  <c r="AI7" i="26"/>
  <c r="AJ7" i="26"/>
  <c r="AK7" i="26"/>
  <c r="AM7" i="26"/>
  <c r="AN7" i="26"/>
  <c r="AO7" i="26"/>
  <c r="AQ7" i="26"/>
  <c r="C8" i="26"/>
  <c r="D8" i="26"/>
  <c r="E8" i="26"/>
  <c r="G8" i="26"/>
  <c r="H8" i="26"/>
  <c r="I8" i="26"/>
  <c r="K8" i="26"/>
  <c r="L8" i="26"/>
  <c r="M8" i="26"/>
  <c r="O8" i="26"/>
  <c r="P8" i="26"/>
  <c r="Q8" i="26"/>
  <c r="S8" i="26"/>
  <c r="T8" i="26"/>
  <c r="U8" i="26"/>
  <c r="W8" i="26"/>
  <c r="X8" i="26"/>
  <c r="Y8" i="26"/>
  <c r="AA8" i="26"/>
  <c r="AB8" i="26"/>
  <c r="AC8" i="26"/>
  <c r="AE8" i="26"/>
  <c r="AF8" i="26"/>
  <c r="AG8" i="26"/>
  <c r="AI8" i="26"/>
  <c r="AJ8" i="26"/>
  <c r="AK8" i="26"/>
  <c r="AM8" i="26"/>
  <c r="AN8" i="26"/>
  <c r="AO8" i="26"/>
  <c r="AQ8" i="26"/>
  <c r="C9" i="26"/>
  <c r="D9" i="26"/>
  <c r="E9" i="26"/>
  <c r="G9" i="26"/>
  <c r="H9" i="26"/>
  <c r="I9" i="26"/>
  <c r="K9" i="26"/>
  <c r="L9" i="26"/>
  <c r="M9" i="26"/>
  <c r="O9" i="26"/>
  <c r="P9" i="26"/>
  <c r="Q9" i="26"/>
  <c r="S9" i="26"/>
  <c r="T9" i="26"/>
  <c r="U9" i="26"/>
  <c r="W9" i="26"/>
  <c r="X9" i="26"/>
  <c r="Y9" i="26"/>
  <c r="AA9" i="26"/>
  <c r="AB9" i="26"/>
  <c r="AC9" i="26"/>
  <c r="AE9" i="26"/>
  <c r="AF9" i="26"/>
  <c r="AG9" i="26"/>
  <c r="AI9" i="26"/>
  <c r="AJ9" i="26"/>
  <c r="AK9" i="26"/>
  <c r="AM9" i="26"/>
  <c r="AN9" i="26"/>
  <c r="AO9" i="26"/>
  <c r="AQ9" i="26"/>
  <c r="C10" i="26"/>
  <c r="D10" i="26"/>
  <c r="E10" i="26"/>
  <c r="G10" i="26"/>
  <c r="H10" i="26"/>
  <c r="I10" i="26"/>
  <c r="K10" i="26"/>
  <c r="L10" i="26"/>
  <c r="M10" i="26"/>
  <c r="O10" i="26"/>
  <c r="P10" i="26"/>
  <c r="Q10" i="26"/>
  <c r="S10" i="26"/>
  <c r="T10" i="26"/>
  <c r="U10" i="26"/>
  <c r="W10" i="26"/>
  <c r="X10" i="26"/>
  <c r="Y10" i="26"/>
  <c r="AA10" i="26"/>
  <c r="AB10" i="26"/>
  <c r="AC10" i="26"/>
  <c r="AE10" i="26"/>
  <c r="AF10" i="26"/>
  <c r="AG10" i="26"/>
  <c r="AI10" i="26"/>
  <c r="AJ10" i="26"/>
  <c r="AK10" i="26"/>
  <c r="AM10" i="26"/>
  <c r="AN10" i="26"/>
  <c r="AO10" i="26"/>
  <c r="AQ10" i="26"/>
  <c r="C11" i="26"/>
  <c r="D11" i="26"/>
  <c r="E11" i="26"/>
  <c r="G11" i="26"/>
  <c r="H11" i="26"/>
  <c r="I11" i="26"/>
  <c r="K11" i="26"/>
  <c r="L11" i="26"/>
  <c r="M11" i="26"/>
  <c r="O11" i="26"/>
  <c r="P11" i="26"/>
  <c r="Q11" i="26"/>
  <c r="S11" i="26"/>
  <c r="T11" i="26"/>
  <c r="U11" i="26"/>
  <c r="W11" i="26"/>
  <c r="X11" i="26"/>
  <c r="Y11" i="26"/>
  <c r="AA11" i="26"/>
  <c r="AB11" i="26"/>
  <c r="AC11" i="26"/>
  <c r="AE11" i="26"/>
  <c r="AF11" i="26"/>
  <c r="AG11" i="26"/>
  <c r="AI11" i="26"/>
  <c r="AJ11" i="26"/>
  <c r="AK11" i="26"/>
  <c r="AM11" i="26"/>
  <c r="AN11" i="26"/>
  <c r="AO11" i="26"/>
  <c r="AQ11" i="26"/>
  <c r="C12" i="26"/>
  <c r="D12" i="26"/>
  <c r="E12" i="26"/>
  <c r="G12" i="26"/>
  <c r="H12" i="26"/>
  <c r="I12" i="26"/>
  <c r="K12" i="26"/>
  <c r="L12" i="26"/>
  <c r="M12" i="26"/>
  <c r="O12" i="26"/>
  <c r="P12" i="26"/>
  <c r="Q12" i="26"/>
  <c r="S12" i="26"/>
  <c r="T12" i="26"/>
  <c r="U12" i="26"/>
  <c r="W12" i="26"/>
  <c r="X12" i="26"/>
  <c r="Y12" i="26"/>
  <c r="AA12" i="26"/>
  <c r="AB12" i="26"/>
  <c r="AC12" i="26"/>
  <c r="AE12" i="26"/>
  <c r="AF12" i="26"/>
  <c r="AG12" i="26"/>
  <c r="AI12" i="26"/>
  <c r="AJ12" i="26"/>
  <c r="AK12" i="26"/>
  <c r="AM12" i="26"/>
  <c r="AN12" i="26"/>
  <c r="AO12" i="26"/>
  <c r="AQ12" i="26"/>
  <c r="C13" i="26"/>
  <c r="D13" i="26"/>
  <c r="E13" i="26"/>
  <c r="G13" i="26"/>
  <c r="H13" i="26"/>
  <c r="I13" i="26"/>
  <c r="K13" i="26"/>
  <c r="L13" i="26"/>
  <c r="M13" i="26"/>
  <c r="O13" i="26"/>
  <c r="P13" i="26"/>
  <c r="Q13" i="26"/>
  <c r="S13" i="26"/>
  <c r="T13" i="26"/>
  <c r="U13" i="26"/>
  <c r="W13" i="26"/>
  <c r="X13" i="26"/>
  <c r="Y13" i="26"/>
  <c r="AA13" i="26"/>
  <c r="AB13" i="26"/>
  <c r="AC13" i="26"/>
  <c r="AE13" i="26"/>
  <c r="AF13" i="26"/>
  <c r="AG13" i="26"/>
  <c r="AH13" i="26"/>
  <c r="AI13" i="26"/>
  <c r="AJ13" i="26"/>
  <c r="AK13" i="26"/>
  <c r="AM13" i="26"/>
  <c r="AN13" i="26"/>
  <c r="AO13" i="26"/>
  <c r="AQ13" i="26"/>
  <c r="C14" i="26"/>
  <c r="D14" i="26"/>
  <c r="E14" i="26"/>
  <c r="G14" i="26"/>
  <c r="H14" i="26"/>
  <c r="I14" i="26"/>
  <c r="K14" i="26"/>
  <c r="L14" i="26"/>
  <c r="M14" i="26"/>
  <c r="O14" i="26"/>
  <c r="P14" i="26"/>
  <c r="Q14" i="26"/>
  <c r="S14" i="26"/>
  <c r="T14" i="26"/>
  <c r="U14" i="26"/>
  <c r="W14" i="26"/>
  <c r="X14" i="26"/>
  <c r="Y14" i="26"/>
  <c r="AA14" i="26"/>
  <c r="AB14" i="26"/>
  <c r="AC14" i="26"/>
  <c r="AE14" i="26"/>
  <c r="AF14" i="26"/>
  <c r="AG14" i="26"/>
  <c r="AI14" i="26"/>
  <c r="AJ14" i="26"/>
  <c r="AK14" i="26"/>
  <c r="AM14" i="26"/>
  <c r="AN14" i="26"/>
  <c r="AO14" i="26"/>
  <c r="AQ14" i="26"/>
  <c r="C15" i="26"/>
  <c r="D15" i="26"/>
  <c r="E15" i="26"/>
  <c r="G15" i="26"/>
  <c r="H15" i="26"/>
  <c r="I15" i="26"/>
  <c r="K15" i="26"/>
  <c r="L15" i="26"/>
  <c r="M15" i="26"/>
  <c r="O15" i="26"/>
  <c r="P15" i="26"/>
  <c r="Q15" i="26"/>
  <c r="S15" i="26"/>
  <c r="T15" i="26"/>
  <c r="U15" i="26"/>
  <c r="W15" i="26"/>
  <c r="X15" i="26"/>
  <c r="Y15" i="26"/>
  <c r="AA15" i="26"/>
  <c r="AB15" i="26"/>
  <c r="AC15" i="26"/>
  <c r="AE15" i="26"/>
  <c r="AF15" i="26"/>
  <c r="AG15" i="26"/>
  <c r="AI15" i="26"/>
  <c r="AJ15" i="26"/>
  <c r="AK15" i="26"/>
  <c r="AM15" i="26"/>
  <c r="AN15" i="26"/>
  <c r="AO15" i="26"/>
  <c r="AQ15" i="26"/>
  <c r="C16" i="26"/>
  <c r="D16" i="26"/>
  <c r="E16" i="26"/>
  <c r="G16" i="26"/>
  <c r="H16" i="26"/>
  <c r="I16" i="26"/>
  <c r="K16" i="26"/>
  <c r="L16" i="26"/>
  <c r="M16" i="26"/>
  <c r="O16" i="26"/>
  <c r="P16" i="26"/>
  <c r="Q16" i="26"/>
  <c r="S16" i="26"/>
  <c r="T16" i="26"/>
  <c r="U16" i="26"/>
  <c r="W16" i="26"/>
  <c r="X16" i="26"/>
  <c r="Y16" i="26"/>
  <c r="AA16" i="26"/>
  <c r="AB16" i="26"/>
  <c r="AC16" i="26"/>
  <c r="AE16" i="26"/>
  <c r="AF16" i="26"/>
  <c r="AG16" i="26"/>
  <c r="AI16" i="26"/>
  <c r="AJ16" i="26"/>
  <c r="AK16" i="26"/>
  <c r="AM16" i="26"/>
  <c r="AN16" i="26"/>
  <c r="AO16" i="26"/>
  <c r="AQ16" i="26"/>
  <c r="C17" i="26"/>
  <c r="D17" i="26"/>
  <c r="E17" i="26"/>
  <c r="G17" i="26"/>
  <c r="H17" i="26"/>
  <c r="I17" i="26"/>
  <c r="K17" i="26"/>
  <c r="L17" i="26"/>
  <c r="M17" i="26"/>
  <c r="O17" i="26"/>
  <c r="P17" i="26"/>
  <c r="Q17" i="26"/>
  <c r="S17" i="26"/>
  <c r="T17" i="26"/>
  <c r="U17" i="26"/>
  <c r="W17" i="26"/>
  <c r="X17" i="26"/>
  <c r="Y17" i="26"/>
  <c r="AA17" i="26"/>
  <c r="AB17" i="26"/>
  <c r="AC17" i="26"/>
  <c r="AE17" i="26"/>
  <c r="AF17" i="26"/>
  <c r="AG17" i="26"/>
  <c r="AI17" i="26"/>
  <c r="AJ17" i="26"/>
  <c r="AK17" i="26"/>
  <c r="AM17" i="26"/>
  <c r="AN17" i="26"/>
  <c r="AO17" i="26"/>
  <c r="AQ17" i="26"/>
  <c r="C18" i="26"/>
  <c r="D18" i="26"/>
  <c r="E18" i="26"/>
  <c r="G18" i="26"/>
  <c r="H18" i="26"/>
  <c r="I18" i="26"/>
  <c r="K18" i="26"/>
  <c r="L18" i="26"/>
  <c r="M18" i="26"/>
  <c r="O18" i="26"/>
  <c r="P18" i="26"/>
  <c r="Q18" i="26"/>
  <c r="S18" i="26"/>
  <c r="T18" i="26"/>
  <c r="U18" i="26"/>
  <c r="W18" i="26"/>
  <c r="X18" i="26"/>
  <c r="Y18" i="26"/>
  <c r="AA18" i="26"/>
  <c r="AB18" i="26"/>
  <c r="AC18" i="26"/>
  <c r="AE18" i="26"/>
  <c r="AF18" i="26"/>
  <c r="AG18" i="26"/>
  <c r="AI18" i="26"/>
  <c r="AJ18" i="26"/>
  <c r="AK18" i="26"/>
  <c r="AM18" i="26"/>
  <c r="AN18" i="26"/>
  <c r="AO18" i="26"/>
  <c r="AQ18" i="26"/>
  <c r="C19" i="26"/>
  <c r="D19" i="26"/>
  <c r="E19" i="26"/>
  <c r="G19" i="26"/>
  <c r="H19" i="26"/>
  <c r="I19" i="26"/>
  <c r="K19" i="26"/>
  <c r="L19" i="26"/>
  <c r="M19" i="26"/>
  <c r="O19" i="26"/>
  <c r="P19" i="26"/>
  <c r="Q19" i="26"/>
  <c r="S19" i="26"/>
  <c r="T19" i="26"/>
  <c r="U19" i="26"/>
  <c r="W19" i="26"/>
  <c r="X19" i="26"/>
  <c r="Y19" i="26"/>
  <c r="AA19" i="26"/>
  <c r="AB19" i="26"/>
  <c r="AC19" i="26"/>
  <c r="AE19" i="26"/>
  <c r="AF19" i="26"/>
  <c r="AG19" i="26"/>
  <c r="AI19" i="26"/>
  <c r="AJ19" i="26"/>
  <c r="AK19" i="26"/>
  <c r="AM19" i="26"/>
  <c r="AN19" i="26"/>
  <c r="AO19" i="26"/>
  <c r="AQ19" i="26"/>
  <c r="C20" i="26"/>
  <c r="D20" i="26"/>
  <c r="E20" i="26"/>
  <c r="G20" i="26"/>
  <c r="H20" i="26"/>
  <c r="I20" i="26"/>
  <c r="K20" i="26"/>
  <c r="L20" i="26"/>
  <c r="M20" i="26"/>
  <c r="O20" i="26"/>
  <c r="P20" i="26"/>
  <c r="Q20" i="26"/>
  <c r="S20" i="26"/>
  <c r="T20" i="26"/>
  <c r="U20" i="26"/>
  <c r="W20" i="26"/>
  <c r="X20" i="26"/>
  <c r="Y20" i="26"/>
  <c r="AA20" i="26"/>
  <c r="AB20" i="26"/>
  <c r="AC20" i="26"/>
  <c r="AE20" i="26"/>
  <c r="AF20" i="26"/>
  <c r="AG20" i="26"/>
  <c r="AI20" i="26"/>
  <c r="AJ20" i="26"/>
  <c r="AK20" i="26"/>
  <c r="AM20" i="26"/>
  <c r="AN20" i="26"/>
  <c r="AO20" i="26"/>
  <c r="AQ20" i="26"/>
  <c r="C21" i="26"/>
  <c r="D21" i="26"/>
  <c r="E21" i="26"/>
  <c r="G21" i="26"/>
  <c r="H21" i="26"/>
  <c r="I21" i="26"/>
  <c r="K21" i="26"/>
  <c r="L21" i="26"/>
  <c r="M21" i="26"/>
  <c r="O21" i="26"/>
  <c r="P21" i="26"/>
  <c r="Q21" i="26"/>
  <c r="S21" i="26"/>
  <c r="T21" i="26"/>
  <c r="U21" i="26"/>
  <c r="W21" i="26"/>
  <c r="X21" i="26"/>
  <c r="Y21" i="26"/>
  <c r="AA21" i="26"/>
  <c r="AB21" i="26"/>
  <c r="AC21" i="26"/>
  <c r="AE21" i="26"/>
  <c r="AF21" i="26"/>
  <c r="AG21" i="26"/>
  <c r="AI21" i="26"/>
  <c r="AJ21" i="26"/>
  <c r="AK21" i="26"/>
  <c r="AM21" i="26"/>
  <c r="AN21" i="26"/>
  <c r="AO21" i="26"/>
  <c r="AQ21" i="26"/>
  <c r="C22" i="26"/>
  <c r="D22" i="26"/>
  <c r="E22" i="26"/>
  <c r="G22" i="26"/>
  <c r="H22" i="26"/>
  <c r="I22" i="26"/>
  <c r="K22" i="26"/>
  <c r="L22" i="26"/>
  <c r="M22" i="26"/>
  <c r="O22" i="26"/>
  <c r="P22" i="26"/>
  <c r="Q22" i="26"/>
  <c r="S22" i="26"/>
  <c r="T22" i="26"/>
  <c r="U22" i="26"/>
  <c r="W22" i="26"/>
  <c r="X22" i="26"/>
  <c r="Y22" i="26"/>
  <c r="AA22" i="26"/>
  <c r="AB22" i="26"/>
  <c r="AC22" i="26"/>
  <c r="AE22" i="26"/>
  <c r="AF22" i="26"/>
  <c r="AG22" i="26"/>
  <c r="AI22" i="26"/>
  <c r="AJ22" i="26"/>
  <c r="AK22" i="26"/>
  <c r="AM22" i="26"/>
  <c r="AN22" i="26"/>
  <c r="AO22" i="26"/>
  <c r="AQ22" i="26"/>
  <c r="C23" i="26"/>
  <c r="D23" i="26"/>
  <c r="E23" i="26"/>
  <c r="G23" i="26"/>
  <c r="H23" i="26"/>
  <c r="I23" i="26"/>
  <c r="K23" i="26"/>
  <c r="L23" i="26"/>
  <c r="M23" i="26"/>
  <c r="O23" i="26"/>
  <c r="P23" i="26"/>
  <c r="Q23" i="26"/>
  <c r="S23" i="26"/>
  <c r="T23" i="26"/>
  <c r="U23" i="26"/>
  <c r="W23" i="26"/>
  <c r="X23" i="26"/>
  <c r="Y23" i="26"/>
  <c r="AA23" i="26"/>
  <c r="AB23" i="26"/>
  <c r="AC23" i="26"/>
  <c r="AE23" i="26"/>
  <c r="AF23" i="26"/>
  <c r="AG23" i="26"/>
  <c r="AI23" i="26"/>
  <c r="AJ23" i="26"/>
  <c r="AK23" i="26"/>
  <c r="AM23" i="26"/>
  <c r="AN23" i="26"/>
  <c r="AO23" i="26"/>
  <c r="AQ23" i="26"/>
  <c r="C24" i="26"/>
  <c r="D24" i="26"/>
  <c r="E24" i="26"/>
  <c r="G24" i="26"/>
  <c r="H24" i="26"/>
  <c r="I24" i="26"/>
  <c r="K24" i="26"/>
  <c r="L24" i="26"/>
  <c r="M24" i="26"/>
  <c r="O24" i="26"/>
  <c r="P24" i="26"/>
  <c r="Q24" i="26"/>
  <c r="S24" i="26"/>
  <c r="T24" i="26"/>
  <c r="U24" i="26"/>
  <c r="W24" i="26"/>
  <c r="X24" i="26"/>
  <c r="Y24" i="26"/>
  <c r="AA24" i="26"/>
  <c r="AB24" i="26"/>
  <c r="AC24" i="26"/>
  <c r="AE24" i="26"/>
  <c r="AF24" i="26"/>
  <c r="AG24" i="26"/>
  <c r="AI24" i="26"/>
  <c r="AJ24" i="26"/>
  <c r="AK24" i="26"/>
  <c r="AM24" i="26"/>
  <c r="AN24" i="26"/>
  <c r="AO24" i="26"/>
  <c r="AQ24" i="26"/>
  <c r="C25" i="26"/>
  <c r="D25" i="26"/>
  <c r="E25" i="26"/>
  <c r="G25" i="26"/>
  <c r="H25" i="26"/>
  <c r="I25" i="26"/>
  <c r="K25" i="26"/>
  <c r="L25" i="26"/>
  <c r="M25" i="26"/>
  <c r="O25" i="26"/>
  <c r="P25" i="26"/>
  <c r="Q25" i="26"/>
  <c r="S25" i="26"/>
  <c r="T25" i="26"/>
  <c r="U25" i="26"/>
  <c r="W25" i="26"/>
  <c r="X25" i="26"/>
  <c r="Y25" i="26"/>
  <c r="AA25" i="26"/>
  <c r="AB25" i="26"/>
  <c r="AC25" i="26"/>
  <c r="AE25" i="26"/>
  <c r="AF25" i="26"/>
  <c r="AG25" i="26"/>
  <c r="AI25" i="26"/>
  <c r="AJ25" i="26"/>
  <c r="AK25" i="26"/>
  <c r="AM25" i="26"/>
  <c r="AN25" i="26"/>
  <c r="AO25" i="26"/>
  <c r="AQ25" i="26"/>
  <c r="C26" i="26"/>
  <c r="D26" i="26"/>
  <c r="E26" i="26"/>
  <c r="G26" i="26"/>
  <c r="H26" i="26"/>
  <c r="I26" i="26"/>
  <c r="K26" i="26"/>
  <c r="L26" i="26"/>
  <c r="M26" i="26"/>
  <c r="O26" i="26"/>
  <c r="P26" i="26"/>
  <c r="Q26" i="26"/>
  <c r="S26" i="26"/>
  <c r="T26" i="26"/>
  <c r="U26" i="26"/>
  <c r="W26" i="26"/>
  <c r="X26" i="26"/>
  <c r="Y26" i="26"/>
  <c r="AA26" i="26"/>
  <c r="AB26" i="26"/>
  <c r="AC26" i="26"/>
  <c r="AE26" i="26"/>
  <c r="AF26" i="26"/>
  <c r="AG26" i="26"/>
  <c r="AI26" i="26"/>
  <c r="AJ26" i="26"/>
  <c r="AK26" i="26"/>
  <c r="AM26" i="26"/>
  <c r="AN26" i="26"/>
  <c r="AO26" i="26"/>
  <c r="AQ26" i="26"/>
  <c r="C27" i="26"/>
  <c r="D27" i="26"/>
  <c r="E27" i="26"/>
  <c r="G27" i="26"/>
  <c r="H27" i="26"/>
  <c r="I27" i="26"/>
  <c r="K27" i="26"/>
  <c r="L27" i="26"/>
  <c r="M27" i="26"/>
  <c r="O27" i="26"/>
  <c r="P27" i="26"/>
  <c r="Q27" i="26"/>
  <c r="S27" i="26"/>
  <c r="T27" i="26"/>
  <c r="U27" i="26"/>
  <c r="W27" i="26"/>
  <c r="X27" i="26"/>
  <c r="Y27" i="26"/>
  <c r="AA27" i="26"/>
  <c r="AB27" i="26"/>
  <c r="AC27" i="26"/>
  <c r="AE27" i="26"/>
  <c r="AF27" i="26"/>
  <c r="AG27" i="26"/>
  <c r="AI27" i="26"/>
  <c r="AJ27" i="26"/>
  <c r="AK27" i="26"/>
  <c r="AM27" i="26"/>
  <c r="AN27" i="26"/>
  <c r="AO27" i="26"/>
  <c r="AQ27" i="26"/>
  <c r="C28" i="26"/>
  <c r="D28" i="26"/>
  <c r="E28" i="26"/>
  <c r="G28" i="26"/>
  <c r="H28" i="26"/>
  <c r="I28" i="26"/>
  <c r="K28" i="26"/>
  <c r="L28" i="26"/>
  <c r="M28" i="26"/>
  <c r="O28" i="26"/>
  <c r="P28" i="26"/>
  <c r="Q28" i="26"/>
  <c r="S28" i="26"/>
  <c r="T28" i="26"/>
  <c r="U28" i="26"/>
  <c r="W28" i="26"/>
  <c r="X28" i="26"/>
  <c r="Y28" i="26"/>
  <c r="AA28" i="26"/>
  <c r="AB28" i="26"/>
  <c r="AC28" i="26"/>
  <c r="AE28" i="26"/>
  <c r="AF28" i="26"/>
  <c r="AG28" i="26"/>
  <c r="AI28" i="26"/>
  <c r="AJ28" i="26"/>
  <c r="AK28" i="26"/>
  <c r="AM28" i="26"/>
  <c r="AN28" i="26"/>
  <c r="AO28" i="26"/>
  <c r="AQ28" i="26"/>
  <c r="C29" i="26"/>
  <c r="D29" i="26"/>
  <c r="E29" i="26"/>
  <c r="G29" i="26"/>
  <c r="H29" i="26"/>
  <c r="I29" i="26"/>
  <c r="K29" i="26"/>
  <c r="L29" i="26"/>
  <c r="M29" i="26"/>
  <c r="O29" i="26"/>
  <c r="P29" i="26"/>
  <c r="Q29" i="26"/>
  <c r="S29" i="26"/>
  <c r="T29" i="26"/>
  <c r="U29" i="26"/>
  <c r="W29" i="26"/>
  <c r="X29" i="26"/>
  <c r="Y29" i="26"/>
  <c r="AA29" i="26"/>
  <c r="AB29" i="26"/>
  <c r="AC29" i="26"/>
  <c r="AE29" i="26"/>
  <c r="AF29" i="26"/>
  <c r="AG29" i="26"/>
  <c r="AI29" i="26"/>
  <c r="AJ29" i="26"/>
  <c r="AK29" i="26"/>
  <c r="AM29" i="26"/>
  <c r="AN29" i="26"/>
  <c r="AO29" i="26"/>
  <c r="AQ29" i="26"/>
  <c r="C30" i="26"/>
  <c r="D30" i="26"/>
  <c r="E30" i="26"/>
  <c r="G30" i="26"/>
  <c r="H30" i="26"/>
  <c r="I30" i="26"/>
  <c r="K30" i="26"/>
  <c r="L30" i="26"/>
  <c r="M30" i="26"/>
  <c r="O30" i="26"/>
  <c r="P30" i="26"/>
  <c r="Q30" i="26"/>
  <c r="S30" i="26"/>
  <c r="T30" i="26"/>
  <c r="U30" i="26"/>
  <c r="W30" i="26"/>
  <c r="X30" i="26"/>
  <c r="Y30" i="26"/>
  <c r="AA30" i="26"/>
  <c r="AB30" i="26"/>
  <c r="AC30" i="26"/>
  <c r="AE30" i="26"/>
  <c r="AF30" i="26"/>
  <c r="AG30" i="26"/>
  <c r="AI30" i="26"/>
  <c r="AJ30" i="26"/>
  <c r="AK30" i="26"/>
  <c r="AM30" i="26"/>
  <c r="AN30" i="26"/>
  <c r="AO30" i="26"/>
  <c r="AQ30" i="26"/>
  <c r="C31" i="26"/>
  <c r="D31" i="26"/>
  <c r="E31" i="26"/>
  <c r="G31" i="26"/>
  <c r="H31" i="26"/>
  <c r="I31" i="26"/>
  <c r="K31" i="26"/>
  <c r="L31" i="26"/>
  <c r="M31" i="26"/>
  <c r="O31" i="26"/>
  <c r="P31" i="26"/>
  <c r="Q31" i="26"/>
  <c r="S31" i="26"/>
  <c r="T31" i="26"/>
  <c r="U31" i="26"/>
  <c r="W31" i="26"/>
  <c r="X31" i="26"/>
  <c r="Y31" i="26"/>
  <c r="AA31" i="26"/>
  <c r="AB31" i="26"/>
  <c r="AC31" i="26"/>
  <c r="AE31" i="26"/>
  <c r="AF31" i="26"/>
  <c r="AG31" i="26"/>
  <c r="AI31" i="26"/>
  <c r="AJ31" i="26"/>
  <c r="AK31" i="26"/>
  <c r="AM31" i="26"/>
  <c r="AN31" i="26"/>
  <c r="AO31" i="26"/>
  <c r="AQ31" i="26"/>
  <c r="C32" i="26"/>
  <c r="D32" i="26"/>
  <c r="E32" i="26"/>
  <c r="G32" i="26"/>
  <c r="H32" i="26"/>
  <c r="I32" i="26"/>
  <c r="K32" i="26"/>
  <c r="L32" i="26"/>
  <c r="M32" i="26"/>
  <c r="O32" i="26"/>
  <c r="P32" i="26"/>
  <c r="Q32" i="26"/>
  <c r="S32" i="26"/>
  <c r="T32" i="26"/>
  <c r="U32" i="26"/>
  <c r="W32" i="26"/>
  <c r="X32" i="26"/>
  <c r="Y32" i="26"/>
  <c r="AA32" i="26"/>
  <c r="AB32" i="26"/>
  <c r="AC32" i="26"/>
  <c r="AE32" i="26"/>
  <c r="AF32" i="26"/>
  <c r="AG32" i="26"/>
  <c r="AI32" i="26"/>
  <c r="AJ32" i="26"/>
  <c r="AK32" i="26"/>
  <c r="AM32" i="26"/>
  <c r="AN32" i="26"/>
  <c r="AO32" i="26"/>
  <c r="AQ32" i="26"/>
  <c r="C33" i="26"/>
  <c r="D33" i="26"/>
  <c r="E33" i="26"/>
  <c r="G33" i="26"/>
  <c r="H33" i="26"/>
  <c r="I33" i="26"/>
  <c r="K33" i="26"/>
  <c r="L33" i="26"/>
  <c r="M33" i="26"/>
  <c r="O33" i="26"/>
  <c r="P33" i="26"/>
  <c r="Q33" i="26"/>
  <c r="S33" i="26"/>
  <c r="T33" i="26"/>
  <c r="U33" i="26"/>
  <c r="W33" i="26"/>
  <c r="X33" i="26"/>
  <c r="Y33" i="26"/>
  <c r="AA33" i="26"/>
  <c r="AB33" i="26"/>
  <c r="AC33" i="26"/>
  <c r="AE33" i="26"/>
  <c r="AF33" i="26"/>
  <c r="AG33" i="26"/>
  <c r="AI33" i="26"/>
  <c r="AJ33" i="26"/>
  <c r="AK33" i="26"/>
  <c r="AM33" i="26"/>
  <c r="AN33" i="26"/>
  <c r="AO33" i="26"/>
  <c r="AQ33" i="26"/>
  <c r="C34" i="26"/>
  <c r="D34" i="26"/>
  <c r="E34" i="26"/>
  <c r="G34" i="26"/>
  <c r="H34" i="26"/>
  <c r="I34" i="26"/>
  <c r="K34" i="26"/>
  <c r="L34" i="26"/>
  <c r="M34" i="26"/>
  <c r="O34" i="26"/>
  <c r="P34" i="26"/>
  <c r="Q34" i="26"/>
  <c r="S34" i="26"/>
  <c r="T34" i="26"/>
  <c r="U34" i="26"/>
  <c r="W34" i="26"/>
  <c r="X34" i="26"/>
  <c r="Y34" i="26"/>
  <c r="AA34" i="26"/>
  <c r="AB34" i="26"/>
  <c r="AC34" i="26"/>
  <c r="AE34" i="26"/>
  <c r="AF34" i="26"/>
  <c r="AG34" i="26"/>
  <c r="AI34" i="26"/>
  <c r="AJ34" i="26"/>
  <c r="AK34" i="26"/>
  <c r="AM34" i="26"/>
  <c r="AN34" i="26"/>
  <c r="AO34" i="26"/>
  <c r="AQ34" i="26"/>
  <c r="C35" i="26"/>
  <c r="D35" i="26"/>
  <c r="E35" i="26"/>
  <c r="G35" i="26"/>
  <c r="H35" i="26"/>
  <c r="I35" i="26"/>
  <c r="K35" i="26"/>
  <c r="L35" i="26"/>
  <c r="M35" i="26"/>
  <c r="O35" i="26"/>
  <c r="P35" i="26"/>
  <c r="Q35" i="26"/>
  <c r="S35" i="26"/>
  <c r="T35" i="26"/>
  <c r="U35" i="26"/>
  <c r="W35" i="26"/>
  <c r="X35" i="26"/>
  <c r="Y35" i="26"/>
  <c r="AA35" i="26"/>
  <c r="AB35" i="26"/>
  <c r="AC35" i="26"/>
  <c r="AE35" i="26"/>
  <c r="AF35" i="26"/>
  <c r="AG35" i="26"/>
  <c r="AI35" i="26"/>
  <c r="AJ35" i="26"/>
  <c r="AK35" i="26"/>
  <c r="AM35" i="26"/>
  <c r="AN35" i="26"/>
  <c r="AO35" i="26"/>
  <c r="AQ35" i="26"/>
  <c r="C36" i="26"/>
  <c r="D36" i="26"/>
  <c r="E36" i="26"/>
  <c r="G36" i="26"/>
  <c r="H36" i="26"/>
  <c r="I36" i="26"/>
  <c r="K36" i="26"/>
  <c r="L36" i="26"/>
  <c r="M36" i="26"/>
  <c r="O36" i="26"/>
  <c r="P36" i="26"/>
  <c r="Q36" i="26"/>
  <c r="S36" i="26"/>
  <c r="T36" i="26"/>
  <c r="U36" i="26"/>
  <c r="W36" i="26"/>
  <c r="X36" i="26"/>
  <c r="Y36" i="26"/>
  <c r="AA36" i="26"/>
  <c r="AB36" i="26"/>
  <c r="AC36" i="26"/>
  <c r="AE36" i="26"/>
  <c r="AF36" i="26"/>
  <c r="AG36" i="26"/>
  <c r="AI36" i="26"/>
  <c r="AJ36" i="26"/>
  <c r="AK36" i="26"/>
  <c r="AM36" i="26"/>
  <c r="AN36" i="26"/>
  <c r="AO36" i="26"/>
  <c r="AQ36" i="26"/>
  <c r="C37" i="26"/>
  <c r="D37" i="26"/>
  <c r="E37" i="26"/>
  <c r="G37" i="26"/>
  <c r="H37" i="26"/>
  <c r="I37" i="26"/>
  <c r="K37" i="26"/>
  <c r="L37" i="26"/>
  <c r="M37" i="26"/>
  <c r="O37" i="26"/>
  <c r="P37" i="26"/>
  <c r="Q37" i="26"/>
  <c r="S37" i="26"/>
  <c r="T37" i="26"/>
  <c r="U37" i="26"/>
  <c r="W37" i="26"/>
  <c r="X37" i="26"/>
  <c r="Y37" i="26"/>
  <c r="AA37" i="26"/>
  <c r="AB37" i="26"/>
  <c r="AC37" i="26"/>
  <c r="AE37" i="26"/>
  <c r="AF37" i="26"/>
  <c r="AG37" i="26"/>
  <c r="AI37" i="26"/>
  <c r="AJ37" i="26"/>
  <c r="AK37" i="26"/>
  <c r="AM37" i="26"/>
  <c r="AN37" i="26"/>
  <c r="AO37" i="26"/>
  <c r="AQ37" i="26"/>
  <c r="C38" i="26"/>
  <c r="D38" i="26"/>
  <c r="E38" i="26"/>
  <c r="G38" i="26"/>
  <c r="H38" i="26"/>
  <c r="I38" i="26"/>
  <c r="K38" i="26"/>
  <c r="L38" i="26"/>
  <c r="M38" i="26"/>
  <c r="O38" i="26"/>
  <c r="P38" i="26"/>
  <c r="Q38" i="26"/>
  <c r="S38" i="26"/>
  <c r="T38" i="26"/>
  <c r="U38" i="26"/>
  <c r="W38" i="26"/>
  <c r="X38" i="26"/>
  <c r="Y38" i="26"/>
  <c r="AA38" i="26"/>
  <c r="AB38" i="26"/>
  <c r="AC38" i="26"/>
  <c r="AE38" i="26"/>
  <c r="AF38" i="26"/>
  <c r="AG38" i="26"/>
  <c r="AI38" i="26"/>
  <c r="AJ38" i="26"/>
  <c r="AK38" i="26"/>
  <c r="AM38" i="26"/>
  <c r="AN38" i="26"/>
  <c r="AO38" i="26"/>
  <c r="AQ38" i="26"/>
  <c r="C39" i="26"/>
  <c r="D39" i="26"/>
  <c r="E39" i="26"/>
  <c r="G39" i="26"/>
  <c r="H39" i="26"/>
  <c r="I39" i="26"/>
  <c r="K39" i="26"/>
  <c r="L39" i="26"/>
  <c r="M39" i="26"/>
  <c r="O39" i="26"/>
  <c r="P39" i="26"/>
  <c r="Q39" i="26"/>
  <c r="S39" i="26"/>
  <c r="T39" i="26"/>
  <c r="U39" i="26"/>
  <c r="W39" i="26"/>
  <c r="X39" i="26"/>
  <c r="Y39" i="26"/>
  <c r="AA39" i="26"/>
  <c r="AB39" i="26"/>
  <c r="AC39" i="26"/>
  <c r="AE39" i="26"/>
  <c r="AF39" i="26"/>
  <c r="AG39" i="26"/>
  <c r="AI39" i="26"/>
  <c r="AJ39" i="26"/>
  <c r="AK39" i="26"/>
  <c r="AM39" i="26"/>
  <c r="AN39" i="26"/>
  <c r="AO39" i="26"/>
  <c r="AQ39" i="26"/>
  <c r="C40" i="26"/>
  <c r="D40" i="26"/>
  <c r="E40" i="26"/>
  <c r="G40" i="26"/>
  <c r="H40" i="26"/>
  <c r="I40" i="26"/>
  <c r="K40" i="26"/>
  <c r="L40" i="26"/>
  <c r="M40" i="26"/>
  <c r="O40" i="26"/>
  <c r="P40" i="26"/>
  <c r="Q40" i="26"/>
  <c r="S40" i="26"/>
  <c r="T40" i="26"/>
  <c r="U40" i="26"/>
  <c r="W40" i="26"/>
  <c r="X40" i="26"/>
  <c r="Y40" i="26"/>
  <c r="AA40" i="26"/>
  <c r="AB40" i="26"/>
  <c r="AC40" i="26"/>
  <c r="AE40" i="26"/>
  <c r="AF40" i="26"/>
  <c r="AG40" i="26"/>
  <c r="AI40" i="26"/>
  <c r="AJ40" i="26"/>
  <c r="AK40" i="26"/>
  <c r="AM40" i="26"/>
  <c r="AN40" i="26"/>
  <c r="AO40" i="26"/>
  <c r="AQ40" i="26"/>
  <c r="C41" i="26"/>
  <c r="D41" i="26"/>
  <c r="E41" i="26"/>
  <c r="G41" i="26"/>
  <c r="H41" i="26"/>
  <c r="I41" i="26"/>
  <c r="K41" i="26"/>
  <c r="L41" i="26"/>
  <c r="M41" i="26"/>
  <c r="O41" i="26"/>
  <c r="P41" i="26"/>
  <c r="Q41" i="26"/>
  <c r="S41" i="26"/>
  <c r="T41" i="26"/>
  <c r="U41" i="26"/>
  <c r="W41" i="26"/>
  <c r="X41" i="26"/>
  <c r="Y41" i="26"/>
  <c r="AA41" i="26"/>
  <c r="AB41" i="26"/>
  <c r="AC41" i="26"/>
  <c r="AE41" i="26"/>
  <c r="AF41" i="26"/>
  <c r="AG41" i="26"/>
  <c r="AI41" i="26"/>
  <c r="AJ41" i="26"/>
  <c r="AK41" i="26"/>
  <c r="AM41" i="26"/>
  <c r="AN41" i="26"/>
  <c r="AO41" i="26"/>
  <c r="AQ41" i="26"/>
  <c r="C42" i="26"/>
  <c r="D42" i="26"/>
  <c r="E42" i="26"/>
  <c r="G42" i="26"/>
  <c r="H42" i="26"/>
  <c r="I42" i="26"/>
  <c r="K42" i="26"/>
  <c r="L42" i="26"/>
  <c r="M42" i="26"/>
  <c r="O42" i="26"/>
  <c r="P42" i="26"/>
  <c r="Q42" i="26"/>
  <c r="S42" i="26"/>
  <c r="T42" i="26"/>
  <c r="U42" i="26"/>
  <c r="W42" i="26"/>
  <c r="X42" i="26"/>
  <c r="Y42" i="26"/>
  <c r="AA42" i="26"/>
  <c r="AB42" i="26"/>
  <c r="AC42" i="26"/>
  <c r="AE42" i="26"/>
  <c r="AF42" i="26"/>
  <c r="AG42" i="26"/>
  <c r="AI42" i="26"/>
  <c r="AJ42" i="26"/>
  <c r="AK42" i="26"/>
  <c r="AM42" i="26"/>
  <c r="AN42" i="26"/>
  <c r="AO42" i="26"/>
  <c r="AQ42" i="26"/>
  <c r="C43" i="26"/>
  <c r="D43" i="26"/>
  <c r="E43" i="26"/>
  <c r="G43" i="26"/>
  <c r="H43" i="26"/>
  <c r="I43" i="26"/>
  <c r="K43" i="26"/>
  <c r="L43" i="26"/>
  <c r="M43" i="26"/>
  <c r="O43" i="26"/>
  <c r="P43" i="26"/>
  <c r="Q43" i="26"/>
  <c r="S43" i="26"/>
  <c r="T43" i="26"/>
  <c r="U43" i="26"/>
  <c r="W43" i="26"/>
  <c r="X43" i="26"/>
  <c r="Y43" i="26"/>
  <c r="AA43" i="26"/>
  <c r="AB43" i="26"/>
  <c r="AC43" i="26"/>
  <c r="AE43" i="26"/>
  <c r="AF43" i="26"/>
  <c r="AG43" i="26"/>
  <c r="AI43" i="26"/>
  <c r="AJ43" i="26"/>
  <c r="AK43" i="26"/>
  <c r="AL43" i="26"/>
  <c r="AM43" i="26"/>
  <c r="AN43" i="26"/>
  <c r="AO43" i="26"/>
  <c r="AQ43" i="26"/>
  <c r="B4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A44" i="26"/>
  <c r="A5"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 i="26"/>
  <c r="B4" i="26"/>
  <c r="K43" i="24"/>
  <c r="B44" i="24"/>
  <c r="B5" i="24"/>
  <c r="B6" i="24"/>
  <c r="B7" i="24"/>
  <c r="B8" i="24"/>
  <c r="B9" i="24"/>
  <c r="B10" i="24"/>
  <c r="B11" i="24"/>
  <c r="B12" i="24"/>
  <c r="B13" i="24"/>
  <c r="B14" i="24"/>
  <c r="B15" i="24"/>
  <c r="B16" i="24"/>
  <c r="B17" i="24"/>
  <c r="B18" i="24"/>
  <c r="B19" i="24"/>
  <c r="B20" i="24"/>
  <c r="B21" i="24"/>
  <c r="B22" i="24"/>
  <c r="B23" i="24"/>
  <c r="B24" i="24"/>
  <c r="B25" i="24"/>
  <c r="B26" i="24"/>
  <c r="B27" i="24"/>
  <c r="B28" i="24"/>
  <c r="B29" i="24"/>
  <c r="B30" i="24"/>
  <c r="B31" i="24"/>
  <c r="B32" i="24"/>
  <c r="B33" i="24"/>
  <c r="B34" i="24"/>
  <c r="B35" i="24"/>
  <c r="B36" i="24"/>
  <c r="B37" i="24"/>
  <c r="B38" i="24"/>
  <c r="B39" i="24"/>
  <c r="B40" i="24"/>
  <c r="B41" i="24"/>
  <c r="B42" i="24"/>
  <c r="B43" i="24"/>
  <c r="A44" i="24"/>
  <c r="A41" i="24"/>
  <c r="A42" i="24"/>
  <c r="A43" i="24"/>
  <c r="A5" i="24"/>
  <c r="A6" i="24"/>
  <c r="A7" i="24"/>
  <c r="A8" i="24"/>
  <c r="A9" i="24"/>
  <c r="A10" i="24"/>
  <c r="A11" i="24"/>
  <c r="A12" i="24"/>
  <c r="A13" i="24"/>
  <c r="A14" i="24"/>
  <c r="A15" i="24"/>
  <c r="A16" i="24"/>
  <c r="A17" i="24"/>
  <c r="A18" i="24"/>
  <c r="A19" i="24"/>
  <c r="A20" i="24"/>
  <c r="A21" i="24"/>
  <c r="A22" i="24"/>
  <c r="A23" i="24"/>
  <c r="A24" i="24"/>
  <c r="A25" i="24"/>
  <c r="A26" i="24"/>
  <c r="A27" i="24"/>
  <c r="A28" i="24"/>
  <c r="A29" i="24"/>
  <c r="A30" i="24"/>
  <c r="A31" i="24"/>
  <c r="A32" i="24"/>
  <c r="A33" i="24"/>
  <c r="A34" i="24"/>
  <c r="A35" i="24"/>
  <c r="A36" i="24"/>
  <c r="A37" i="24"/>
  <c r="A38" i="24"/>
  <c r="A39" i="24"/>
  <c r="A40" i="24"/>
  <c r="A4" i="24"/>
  <c r="B4" i="24"/>
  <c r="E43" i="22"/>
  <c r="K43" i="22"/>
  <c r="K41" i="22"/>
  <c r="H42" i="22"/>
  <c r="K42" i="22"/>
  <c r="B43" i="22"/>
  <c r="B42" i="22"/>
  <c r="B4" i="22"/>
  <c r="B5" i="22"/>
  <c r="B6" i="22"/>
  <c r="B7" i="22"/>
  <c r="B8" i="22"/>
  <c r="B9" i="22"/>
  <c r="B10"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A43" i="22"/>
  <c r="A4" i="22"/>
  <c r="A5"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8" i="22"/>
  <c r="A39" i="22"/>
  <c r="A40" i="22"/>
  <c r="A41" i="22"/>
  <c r="A42" i="22"/>
  <c r="G44" i="29"/>
  <c r="M44" i="29"/>
  <c r="D5" i="29"/>
  <c r="F5" i="29"/>
  <c r="H5" i="29"/>
  <c r="J5" i="29"/>
  <c r="L5" i="29"/>
  <c r="C6" i="29"/>
  <c r="I10" i="29"/>
  <c r="M10" i="29"/>
  <c r="G11" i="29"/>
  <c r="K11" i="29"/>
  <c r="E12" i="29"/>
  <c r="G12" i="29"/>
  <c r="I12" i="29"/>
  <c r="K12" i="29"/>
  <c r="M12" i="29"/>
  <c r="E14" i="29"/>
  <c r="I14" i="29"/>
  <c r="M14" i="29"/>
  <c r="F15" i="29"/>
  <c r="J15" i="29"/>
  <c r="C16" i="29"/>
  <c r="G16" i="29"/>
  <c r="K16" i="29"/>
  <c r="C42" i="29"/>
  <c r="M42" i="29"/>
  <c r="G43" i="29"/>
  <c r="L43" i="29"/>
  <c r="B44" i="29"/>
  <c r="B43" i="29"/>
  <c r="B5" i="29"/>
  <c r="B6" i="29"/>
  <c r="B7" i="29"/>
  <c r="B8" i="29"/>
  <c r="B9" i="29"/>
  <c r="B10" i="29"/>
  <c r="B11" i="29"/>
  <c r="B12" i="29"/>
  <c r="B13" i="29"/>
  <c r="B14" i="29"/>
  <c r="B15" i="29"/>
  <c r="B16" i="29"/>
  <c r="B17" i="29"/>
  <c r="B18" i="29"/>
  <c r="B19" i="29"/>
  <c r="B20" i="29"/>
  <c r="B21" i="29"/>
  <c r="B22" i="29"/>
  <c r="B23" i="29"/>
  <c r="B24" i="29"/>
  <c r="B25" i="29"/>
  <c r="B26" i="29"/>
  <c r="B27" i="29"/>
  <c r="B28" i="29"/>
  <c r="B29" i="29"/>
  <c r="B30" i="29"/>
  <c r="B31" i="29"/>
  <c r="B32" i="29"/>
  <c r="B33" i="29"/>
  <c r="B34" i="29"/>
  <c r="B35" i="29"/>
  <c r="B36" i="29"/>
  <c r="B37" i="29"/>
  <c r="B38" i="29"/>
  <c r="B39" i="29"/>
  <c r="B40" i="29"/>
  <c r="B41" i="29"/>
  <c r="B42" i="29"/>
  <c r="A44" i="29"/>
  <c r="A5" i="29"/>
  <c r="A6" i="29"/>
  <c r="A7" i="29"/>
  <c r="A8" i="29"/>
  <c r="A9" i="29"/>
  <c r="A10" i="29"/>
  <c r="A11" i="29"/>
  <c r="A12" i="29"/>
  <c r="A13" i="29"/>
  <c r="A14" i="29"/>
  <c r="A15" i="29"/>
  <c r="A16" i="29"/>
  <c r="A17" i="29"/>
  <c r="A18" i="29"/>
  <c r="A19" i="29"/>
  <c r="A20" i="29"/>
  <c r="A21" i="29"/>
  <c r="A22" i="29"/>
  <c r="A23" i="29"/>
  <c r="A24" i="29"/>
  <c r="A25" i="29"/>
  <c r="A26" i="29"/>
  <c r="A27" i="29"/>
  <c r="A28" i="29"/>
  <c r="A29" i="29"/>
  <c r="A30" i="29"/>
  <c r="A31" i="29"/>
  <c r="A32" i="29"/>
  <c r="A33" i="29"/>
  <c r="A34" i="29"/>
  <c r="A35" i="29"/>
  <c r="A36" i="29"/>
  <c r="A37" i="29"/>
  <c r="A38" i="29"/>
  <c r="A39" i="29"/>
  <c r="A40" i="29"/>
  <c r="A41" i="29"/>
  <c r="A42" i="29"/>
  <c r="A43" i="29"/>
  <c r="E11" i="31"/>
  <c r="F42" i="31"/>
  <c r="J42" i="31"/>
  <c r="E43" i="31"/>
  <c r="J43" i="31"/>
  <c r="B44" i="31"/>
  <c r="B5" i="31"/>
  <c r="B6" i="31"/>
  <c r="B7" i="31"/>
  <c r="B8" i="31"/>
  <c r="B9" i="31"/>
  <c r="B10" i="31"/>
  <c r="B11" i="31"/>
  <c r="B12" i="31"/>
  <c r="B13" i="31"/>
  <c r="B14" i="31"/>
  <c r="B15" i="31"/>
  <c r="B16" i="31"/>
  <c r="B17" i="31"/>
  <c r="B18" i="31"/>
  <c r="B19" i="31"/>
  <c r="B20" i="31"/>
  <c r="B21" i="31"/>
  <c r="B22" i="31"/>
  <c r="B23" i="31"/>
  <c r="B24" i="31"/>
  <c r="B25" i="31"/>
  <c r="B26" i="31"/>
  <c r="B27" i="31"/>
  <c r="B28" i="31"/>
  <c r="B29" i="31"/>
  <c r="B30" i="31"/>
  <c r="B31" i="31"/>
  <c r="B32" i="31"/>
  <c r="B33" i="31"/>
  <c r="B34" i="31"/>
  <c r="B35" i="31"/>
  <c r="B36" i="31"/>
  <c r="B37" i="31"/>
  <c r="B38" i="31"/>
  <c r="B39" i="31"/>
  <c r="B40" i="31"/>
  <c r="B41" i="31"/>
  <c r="B42" i="31"/>
  <c r="B43" i="31"/>
  <c r="A44" i="31"/>
  <c r="A5" i="31"/>
  <c r="A6" i="31"/>
  <c r="A7" i="31"/>
  <c r="A8" i="31"/>
  <c r="A9" i="31"/>
  <c r="A10" i="31"/>
  <c r="A11" i="31"/>
  <c r="A12" i="31"/>
  <c r="A13" i="31"/>
  <c r="A14" i="31"/>
  <c r="A15" i="31"/>
  <c r="A16" i="31"/>
  <c r="A17" i="31"/>
  <c r="A18" i="31"/>
  <c r="A19" i="31"/>
  <c r="A20" i="31"/>
  <c r="A21" i="31"/>
  <c r="A22" i="31"/>
  <c r="A23" i="31"/>
  <c r="A24" i="31"/>
  <c r="A25" i="31"/>
  <c r="A26" i="31"/>
  <c r="A27" i="31"/>
  <c r="A28" i="31"/>
  <c r="A29" i="31"/>
  <c r="A30" i="31"/>
  <c r="A31" i="31"/>
  <c r="A32" i="31"/>
  <c r="A33" i="31"/>
  <c r="A34" i="31"/>
  <c r="A35" i="31"/>
  <c r="A36" i="31"/>
  <c r="A37" i="31"/>
  <c r="A38" i="31"/>
  <c r="A39" i="31"/>
  <c r="A40" i="31"/>
  <c r="A41" i="31"/>
  <c r="A42" i="31"/>
  <c r="A43" i="3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C6" i="21"/>
  <c r="C5" i="31" s="1"/>
  <c r="D6" i="21"/>
  <c r="C5" i="29" s="1"/>
  <c r="E6" i="21"/>
  <c r="F6" i="21"/>
  <c r="D5" i="31" s="1"/>
  <c r="G6" i="21"/>
  <c r="H6" i="21"/>
  <c r="I6" i="21"/>
  <c r="E5" i="31" s="1"/>
  <c r="J6" i="21"/>
  <c r="E5" i="29" s="1"/>
  <c r="K6" i="21"/>
  <c r="L6" i="21"/>
  <c r="F5" i="31" s="1"/>
  <c r="M6" i="21"/>
  <c r="N6" i="21"/>
  <c r="O6" i="21"/>
  <c r="G5" i="31" s="1"/>
  <c r="P6" i="21"/>
  <c r="G5" i="29" s="1"/>
  <c r="Q6" i="21"/>
  <c r="R6" i="21"/>
  <c r="H5" i="31" s="1"/>
  <c r="S6" i="21"/>
  <c r="T6" i="21"/>
  <c r="U6" i="21"/>
  <c r="I5" i="31" s="1"/>
  <c r="V6" i="21"/>
  <c r="I5" i="29" s="1"/>
  <c r="W6" i="21"/>
  <c r="X6" i="21"/>
  <c r="J5" i="31" s="1"/>
  <c r="Y6" i="21"/>
  <c r="Z6" i="21"/>
  <c r="AA6" i="21"/>
  <c r="K5" i="31" s="1"/>
  <c r="AB6" i="21"/>
  <c r="K5" i="29" s="1"/>
  <c r="AC6" i="21"/>
  <c r="AD6" i="21"/>
  <c r="L5" i="31" s="1"/>
  <c r="AE6" i="21"/>
  <c r="AF6" i="21"/>
  <c r="AG6" i="21"/>
  <c r="M5" i="31" s="1"/>
  <c r="AH6" i="21"/>
  <c r="M5" i="29" s="1"/>
  <c r="AI6" i="21"/>
  <c r="C7" i="21"/>
  <c r="C6" i="31" s="1"/>
  <c r="D7" i="21"/>
  <c r="E7" i="21"/>
  <c r="F7" i="21"/>
  <c r="D6" i="31" s="1"/>
  <c r="G7" i="21"/>
  <c r="D6" i="29" s="1"/>
  <c r="H7" i="21"/>
  <c r="I7" i="21"/>
  <c r="E6" i="31" s="1"/>
  <c r="J7" i="21"/>
  <c r="E6" i="29" s="1"/>
  <c r="K7" i="21"/>
  <c r="L7" i="21"/>
  <c r="F6" i="31" s="1"/>
  <c r="M7" i="21"/>
  <c r="F6" i="29" s="1"/>
  <c r="N7" i="21"/>
  <c r="O7" i="21"/>
  <c r="G6" i="31" s="1"/>
  <c r="P7" i="21"/>
  <c r="G6" i="29" s="1"/>
  <c r="Q7" i="21"/>
  <c r="R7" i="21"/>
  <c r="H6" i="31" s="1"/>
  <c r="S7" i="21"/>
  <c r="H6" i="29" s="1"/>
  <c r="T7" i="21"/>
  <c r="U7" i="21"/>
  <c r="I6" i="31" s="1"/>
  <c r="V7" i="21"/>
  <c r="I6" i="29" s="1"/>
  <c r="W7" i="21"/>
  <c r="X7" i="21"/>
  <c r="J6" i="31" s="1"/>
  <c r="Y7" i="21"/>
  <c r="J6" i="29" s="1"/>
  <c r="Z7" i="21"/>
  <c r="AA7" i="21"/>
  <c r="K6" i="31" s="1"/>
  <c r="AB7" i="21"/>
  <c r="K6" i="29" s="1"/>
  <c r="AC7" i="21"/>
  <c r="AD7" i="21"/>
  <c r="L6" i="31" s="1"/>
  <c r="AE7" i="21"/>
  <c r="L6" i="29" s="1"/>
  <c r="AF7" i="21"/>
  <c r="AG7" i="21"/>
  <c r="M6" i="31" s="1"/>
  <c r="AH7" i="21"/>
  <c r="M6" i="29" s="1"/>
  <c r="AI7" i="21"/>
  <c r="C8" i="21"/>
  <c r="C7" i="31" s="1"/>
  <c r="D8" i="21"/>
  <c r="C7" i="29" s="1"/>
  <c r="E8" i="21"/>
  <c r="F8" i="21"/>
  <c r="D7" i="31" s="1"/>
  <c r="G8" i="21"/>
  <c r="D7" i="29" s="1"/>
  <c r="H8" i="21"/>
  <c r="I8" i="21"/>
  <c r="E7" i="31" s="1"/>
  <c r="J8" i="21"/>
  <c r="E7" i="29" s="1"/>
  <c r="K8" i="21"/>
  <c r="L8" i="21"/>
  <c r="F7" i="31" s="1"/>
  <c r="M8" i="21"/>
  <c r="F7" i="29" s="1"/>
  <c r="N8" i="21"/>
  <c r="O8" i="21"/>
  <c r="G7" i="31" s="1"/>
  <c r="P8" i="21"/>
  <c r="G7" i="29" s="1"/>
  <c r="Q8" i="21"/>
  <c r="R8" i="21"/>
  <c r="H7" i="31" s="1"/>
  <c r="S8" i="21"/>
  <c r="H7" i="29" s="1"/>
  <c r="T8" i="21"/>
  <c r="U8" i="21"/>
  <c r="I7" i="31" s="1"/>
  <c r="V8" i="21"/>
  <c r="I7" i="29" s="1"/>
  <c r="W8" i="21"/>
  <c r="X8" i="21"/>
  <c r="J7" i="31" s="1"/>
  <c r="Y8" i="21"/>
  <c r="J7" i="29" s="1"/>
  <c r="Z8" i="21"/>
  <c r="AA8" i="21"/>
  <c r="K7" i="31" s="1"/>
  <c r="AB8" i="21"/>
  <c r="K7" i="29" s="1"/>
  <c r="AC8" i="21"/>
  <c r="AD8" i="21"/>
  <c r="L7" i="31" s="1"/>
  <c r="AE8" i="21"/>
  <c r="L7" i="29" s="1"/>
  <c r="AF8" i="21"/>
  <c r="AG8" i="21"/>
  <c r="M7" i="31" s="1"/>
  <c r="AH8" i="21"/>
  <c r="M7" i="29" s="1"/>
  <c r="AI8" i="21"/>
  <c r="C9" i="21"/>
  <c r="C8" i="31" s="1"/>
  <c r="D9" i="21"/>
  <c r="C8" i="29" s="1"/>
  <c r="E9" i="21"/>
  <c r="F9" i="21"/>
  <c r="D8" i="31" s="1"/>
  <c r="G9" i="21"/>
  <c r="D8" i="29" s="1"/>
  <c r="H9" i="21"/>
  <c r="I9" i="21"/>
  <c r="E8" i="31" s="1"/>
  <c r="J9" i="21"/>
  <c r="E8" i="29" s="1"/>
  <c r="K9" i="21"/>
  <c r="L9" i="21"/>
  <c r="F8" i="31" s="1"/>
  <c r="M9" i="21"/>
  <c r="F8" i="29" s="1"/>
  <c r="N9" i="21"/>
  <c r="O9" i="21"/>
  <c r="G8" i="31" s="1"/>
  <c r="P9" i="21"/>
  <c r="G8" i="29" s="1"/>
  <c r="Q9" i="21"/>
  <c r="R9" i="21"/>
  <c r="H8" i="31" s="1"/>
  <c r="S9" i="21"/>
  <c r="H8" i="29" s="1"/>
  <c r="T9" i="21"/>
  <c r="U9" i="21"/>
  <c r="I8" i="31" s="1"/>
  <c r="V9" i="21"/>
  <c r="I8" i="29" s="1"/>
  <c r="W9" i="21"/>
  <c r="X9" i="21"/>
  <c r="J8" i="31" s="1"/>
  <c r="Y9" i="21"/>
  <c r="J8" i="29" s="1"/>
  <c r="Z9" i="21"/>
  <c r="AA9" i="21"/>
  <c r="K8" i="31" s="1"/>
  <c r="AB9" i="21"/>
  <c r="K8" i="29" s="1"/>
  <c r="AC9" i="21"/>
  <c r="AD9" i="21"/>
  <c r="L8" i="31" s="1"/>
  <c r="AE9" i="21"/>
  <c r="L8" i="29" s="1"/>
  <c r="AF9" i="21"/>
  <c r="AG9" i="21"/>
  <c r="M8" i="31" s="1"/>
  <c r="AH9" i="21"/>
  <c r="M8" i="29" s="1"/>
  <c r="AI9" i="21"/>
  <c r="C10" i="21"/>
  <c r="C9" i="31" s="1"/>
  <c r="D10" i="21"/>
  <c r="C9" i="29" s="1"/>
  <c r="E10" i="21"/>
  <c r="F10" i="21"/>
  <c r="D9" i="31" s="1"/>
  <c r="G10" i="21"/>
  <c r="D9" i="29" s="1"/>
  <c r="H10" i="21"/>
  <c r="I10" i="21"/>
  <c r="E9" i="31" s="1"/>
  <c r="J10" i="21"/>
  <c r="E9" i="29" s="1"/>
  <c r="K10" i="21"/>
  <c r="L10" i="21"/>
  <c r="F9" i="31" s="1"/>
  <c r="M10" i="21"/>
  <c r="F9" i="29" s="1"/>
  <c r="N10" i="21"/>
  <c r="O10" i="21"/>
  <c r="G9" i="31" s="1"/>
  <c r="P10" i="21"/>
  <c r="G9" i="29" s="1"/>
  <c r="Q10" i="21"/>
  <c r="R10" i="21"/>
  <c r="H9" i="31" s="1"/>
  <c r="S10" i="21"/>
  <c r="H9" i="29" s="1"/>
  <c r="T10" i="21"/>
  <c r="U10" i="21"/>
  <c r="I9" i="31" s="1"/>
  <c r="V10" i="21"/>
  <c r="I9" i="29" s="1"/>
  <c r="W10" i="21"/>
  <c r="X10" i="21"/>
  <c r="J9" i="31" s="1"/>
  <c r="Y10" i="21"/>
  <c r="J9" i="29" s="1"/>
  <c r="Z10" i="21"/>
  <c r="AA10" i="21"/>
  <c r="K9" i="31" s="1"/>
  <c r="AB10" i="21"/>
  <c r="K9" i="29" s="1"/>
  <c r="AC10" i="21"/>
  <c r="AD10" i="21"/>
  <c r="L9" i="31" s="1"/>
  <c r="AE10" i="21"/>
  <c r="L9" i="29" s="1"/>
  <c r="AF10" i="21"/>
  <c r="AG10" i="21"/>
  <c r="M9" i="31" s="1"/>
  <c r="AH10" i="21"/>
  <c r="M9" i="29" s="1"/>
  <c r="AI10" i="21"/>
  <c r="C11" i="21"/>
  <c r="C10" i="31" s="1"/>
  <c r="D11" i="21"/>
  <c r="C10" i="29" s="1"/>
  <c r="E11" i="21"/>
  <c r="F11" i="21"/>
  <c r="D10" i="31" s="1"/>
  <c r="G11" i="21"/>
  <c r="D10" i="29" s="1"/>
  <c r="H11" i="21"/>
  <c r="I11" i="21"/>
  <c r="E10" i="31" s="1"/>
  <c r="J11" i="21"/>
  <c r="E10" i="29" s="1"/>
  <c r="K11" i="21"/>
  <c r="L11" i="21"/>
  <c r="F10" i="31" s="1"/>
  <c r="M11" i="21"/>
  <c r="F10" i="29" s="1"/>
  <c r="N11" i="21"/>
  <c r="O11" i="21"/>
  <c r="G10" i="31" s="1"/>
  <c r="P11" i="21"/>
  <c r="G10" i="29" s="1"/>
  <c r="Q11" i="21"/>
  <c r="R11" i="21"/>
  <c r="H10" i="31" s="1"/>
  <c r="S11" i="21"/>
  <c r="H10" i="29" s="1"/>
  <c r="T11" i="21"/>
  <c r="U11" i="21"/>
  <c r="I10" i="31" s="1"/>
  <c r="V11" i="21"/>
  <c r="W11" i="21"/>
  <c r="X11" i="21"/>
  <c r="J10" i="31" s="1"/>
  <c r="Y11" i="21"/>
  <c r="J10" i="29" s="1"/>
  <c r="Z11" i="21"/>
  <c r="AA11" i="21"/>
  <c r="K10" i="31" s="1"/>
  <c r="AB11" i="21"/>
  <c r="K10" i="29" s="1"/>
  <c r="AC11" i="21"/>
  <c r="AD11" i="21"/>
  <c r="L10" i="31" s="1"/>
  <c r="AE11" i="21"/>
  <c r="L10" i="29" s="1"/>
  <c r="AF11" i="21"/>
  <c r="AG11" i="21"/>
  <c r="M10" i="31" s="1"/>
  <c r="AH11" i="21"/>
  <c r="AI11" i="21"/>
  <c r="C12" i="21"/>
  <c r="C11" i="31" s="1"/>
  <c r="D12" i="21"/>
  <c r="C11" i="29" s="1"/>
  <c r="E12" i="21"/>
  <c r="F12" i="21"/>
  <c r="D11" i="31" s="1"/>
  <c r="G12" i="21"/>
  <c r="D11" i="29" s="1"/>
  <c r="H12" i="21"/>
  <c r="I12" i="21"/>
  <c r="J12" i="21"/>
  <c r="E11" i="29" s="1"/>
  <c r="K12" i="21"/>
  <c r="L12" i="21"/>
  <c r="F11" i="31" s="1"/>
  <c r="M12" i="21"/>
  <c r="F11" i="29" s="1"/>
  <c r="N12" i="21"/>
  <c r="O12" i="21"/>
  <c r="G11" i="31" s="1"/>
  <c r="P12" i="21"/>
  <c r="Q12" i="21"/>
  <c r="R12" i="21"/>
  <c r="H11" i="31" s="1"/>
  <c r="S12" i="21"/>
  <c r="H11" i="29" s="1"/>
  <c r="T12" i="21"/>
  <c r="U12" i="21"/>
  <c r="I11" i="31" s="1"/>
  <c r="V12" i="21"/>
  <c r="I11" i="29" s="1"/>
  <c r="W12" i="21"/>
  <c r="X12" i="21"/>
  <c r="J11" i="31" s="1"/>
  <c r="Y12" i="21"/>
  <c r="J11" i="29" s="1"/>
  <c r="Z12" i="21"/>
  <c r="AA12" i="21"/>
  <c r="K11" i="31" s="1"/>
  <c r="AB12" i="21"/>
  <c r="AC12" i="21"/>
  <c r="AD12" i="21"/>
  <c r="L11" i="31" s="1"/>
  <c r="AE12" i="21"/>
  <c r="L11" i="29" s="1"/>
  <c r="AF12" i="21"/>
  <c r="AG12" i="21"/>
  <c r="M11" i="31" s="1"/>
  <c r="AH12" i="21"/>
  <c r="M11" i="29" s="1"/>
  <c r="AI12" i="21"/>
  <c r="C13" i="21"/>
  <c r="C12" i="31" s="1"/>
  <c r="D13" i="21"/>
  <c r="C12" i="29" s="1"/>
  <c r="E13" i="21"/>
  <c r="F13" i="21"/>
  <c r="D12" i="31" s="1"/>
  <c r="G13" i="21"/>
  <c r="D12" i="29" s="1"/>
  <c r="H13" i="21"/>
  <c r="I13" i="21"/>
  <c r="E12" i="31" s="1"/>
  <c r="J13" i="21"/>
  <c r="K13" i="21"/>
  <c r="L13" i="21"/>
  <c r="F12" i="31" s="1"/>
  <c r="M13" i="21"/>
  <c r="F12" i="29" s="1"/>
  <c r="N13" i="21"/>
  <c r="O13" i="21"/>
  <c r="G12" i="31" s="1"/>
  <c r="P13" i="21"/>
  <c r="Q13" i="21"/>
  <c r="R13" i="21"/>
  <c r="H12" i="31" s="1"/>
  <c r="S13" i="21"/>
  <c r="H12" i="29" s="1"/>
  <c r="T13" i="21"/>
  <c r="U13" i="21"/>
  <c r="I12" i="31" s="1"/>
  <c r="V13" i="21"/>
  <c r="W13" i="21"/>
  <c r="X13" i="21"/>
  <c r="J12" i="31" s="1"/>
  <c r="Y13" i="21"/>
  <c r="J12" i="29" s="1"/>
  <c r="Z13" i="21"/>
  <c r="AA13" i="21"/>
  <c r="K12" i="31" s="1"/>
  <c r="AB13" i="21"/>
  <c r="AC13" i="21"/>
  <c r="AD13" i="21"/>
  <c r="L12" i="31" s="1"/>
  <c r="AE13" i="21"/>
  <c r="L12" i="29" s="1"/>
  <c r="AF13" i="21"/>
  <c r="AG13" i="21"/>
  <c r="M12" i="31" s="1"/>
  <c r="AH13" i="21"/>
  <c r="AI13" i="21"/>
  <c r="C14" i="21"/>
  <c r="C13" i="31" s="1"/>
  <c r="D14" i="21"/>
  <c r="C13" i="29" s="1"/>
  <c r="E14" i="21"/>
  <c r="F14" i="21"/>
  <c r="D13" i="31" s="1"/>
  <c r="G14" i="21"/>
  <c r="D13" i="29" s="1"/>
  <c r="H14" i="21"/>
  <c r="I14" i="21"/>
  <c r="E13" i="31" s="1"/>
  <c r="J14" i="21"/>
  <c r="E13" i="29" s="1"/>
  <c r="K14" i="21"/>
  <c r="L14" i="21"/>
  <c r="F13" i="31" s="1"/>
  <c r="M14" i="21"/>
  <c r="F13" i="29" s="1"/>
  <c r="N14" i="21"/>
  <c r="O14" i="21"/>
  <c r="G13" i="31" s="1"/>
  <c r="P14" i="21"/>
  <c r="G13" i="29" s="1"/>
  <c r="Q14" i="21"/>
  <c r="R14" i="21"/>
  <c r="H13" i="31" s="1"/>
  <c r="S14" i="21"/>
  <c r="H13" i="29" s="1"/>
  <c r="T14" i="21"/>
  <c r="U14" i="21"/>
  <c r="I13" i="31" s="1"/>
  <c r="V14" i="21"/>
  <c r="I13" i="29" s="1"/>
  <c r="W14" i="21"/>
  <c r="X14" i="21"/>
  <c r="J13" i="31" s="1"/>
  <c r="Y14" i="21"/>
  <c r="J13" i="29" s="1"/>
  <c r="Z14" i="21"/>
  <c r="AA14" i="21"/>
  <c r="K13" i="31" s="1"/>
  <c r="AB14" i="21"/>
  <c r="K13" i="29" s="1"/>
  <c r="AC14" i="21"/>
  <c r="AD14" i="21"/>
  <c r="L13" i="31" s="1"/>
  <c r="AE14" i="21"/>
  <c r="L13" i="29" s="1"/>
  <c r="AF14" i="21"/>
  <c r="AG14" i="21"/>
  <c r="M13" i="31" s="1"/>
  <c r="AH14" i="21"/>
  <c r="M13" i="29" s="1"/>
  <c r="AI14" i="21"/>
  <c r="C15" i="21"/>
  <c r="C14" i="31" s="1"/>
  <c r="D15" i="21"/>
  <c r="C14" i="29" s="1"/>
  <c r="E15" i="21"/>
  <c r="F15" i="21"/>
  <c r="D14" i="31" s="1"/>
  <c r="G15" i="21"/>
  <c r="D14" i="29" s="1"/>
  <c r="H15" i="21"/>
  <c r="I15" i="21"/>
  <c r="E14" i="31" s="1"/>
  <c r="J15" i="21"/>
  <c r="K15" i="21"/>
  <c r="L15" i="21"/>
  <c r="F14" i="31" s="1"/>
  <c r="M15" i="21"/>
  <c r="F14" i="29" s="1"/>
  <c r="N15" i="21"/>
  <c r="O15" i="21"/>
  <c r="G14" i="31" s="1"/>
  <c r="P15" i="21"/>
  <c r="G14" i="29" s="1"/>
  <c r="Q15" i="21"/>
  <c r="R15" i="21"/>
  <c r="H14" i="31" s="1"/>
  <c r="S15" i="21"/>
  <c r="H14" i="29" s="1"/>
  <c r="T15" i="21"/>
  <c r="U15" i="21"/>
  <c r="I14" i="31" s="1"/>
  <c r="V15" i="21"/>
  <c r="W15" i="21"/>
  <c r="X15" i="21"/>
  <c r="J14" i="31" s="1"/>
  <c r="Y15" i="21"/>
  <c r="J14" i="29" s="1"/>
  <c r="Z15" i="21"/>
  <c r="AA15" i="21"/>
  <c r="K14" i="31" s="1"/>
  <c r="AB15" i="21"/>
  <c r="K14" i="29" s="1"/>
  <c r="AC15" i="21"/>
  <c r="AD15" i="21"/>
  <c r="L14" i="31" s="1"/>
  <c r="AE15" i="21"/>
  <c r="L14" i="29" s="1"/>
  <c r="AF15" i="21"/>
  <c r="AG15" i="21"/>
  <c r="M14" i="31" s="1"/>
  <c r="AH15" i="21"/>
  <c r="AI15" i="21"/>
  <c r="C16" i="21"/>
  <c r="C15" i="31" s="1"/>
  <c r="D16" i="21"/>
  <c r="C15" i="29" s="1"/>
  <c r="E16" i="21"/>
  <c r="F16" i="21"/>
  <c r="D15" i="31" s="1"/>
  <c r="G16" i="21"/>
  <c r="D15" i="29" s="1"/>
  <c r="H16" i="21"/>
  <c r="I16" i="21"/>
  <c r="E15" i="31" s="1"/>
  <c r="J16" i="21"/>
  <c r="E15" i="29" s="1"/>
  <c r="K16" i="21"/>
  <c r="L16" i="21"/>
  <c r="F15" i="31" s="1"/>
  <c r="M16" i="21"/>
  <c r="N16" i="21"/>
  <c r="O16" i="21"/>
  <c r="G15" i="31" s="1"/>
  <c r="P16" i="21"/>
  <c r="G15" i="29" s="1"/>
  <c r="Q16" i="21"/>
  <c r="R16" i="21"/>
  <c r="H15" i="31" s="1"/>
  <c r="S16" i="21"/>
  <c r="H15" i="29" s="1"/>
  <c r="T16" i="21"/>
  <c r="U16" i="21"/>
  <c r="I15" i="31" s="1"/>
  <c r="V16" i="21"/>
  <c r="I15" i="29" s="1"/>
  <c r="W16" i="21"/>
  <c r="X16" i="21"/>
  <c r="J15" i="31" s="1"/>
  <c r="Y16" i="21"/>
  <c r="Z16" i="21"/>
  <c r="AA16" i="21"/>
  <c r="K15" i="31" s="1"/>
  <c r="AB16" i="21"/>
  <c r="K15" i="29" s="1"/>
  <c r="AC16" i="21"/>
  <c r="AD16" i="21"/>
  <c r="L15" i="31" s="1"/>
  <c r="AE16" i="21"/>
  <c r="L15" i="29" s="1"/>
  <c r="AF16" i="21"/>
  <c r="AG16" i="21"/>
  <c r="M15" i="31" s="1"/>
  <c r="AH16" i="21"/>
  <c r="M15" i="29" s="1"/>
  <c r="AI16" i="21"/>
  <c r="C17" i="21"/>
  <c r="C16" i="31" s="1"/>
  <c r="D17" i="21"/>
  <c r="E17" i="21"/>
  <c r="F17" i="21"/>
  <c r="D16" i="31" s="1"/>
  <c r="G17" i="21"/>
  <c r="D16" i="29" s="1"/>
  <c r="H17" i="21"/>
  <c r="I17" i="21"/>
  <c r="E16" i="31" s="1"/>
  <c r="J17" i="21"/>
  <c r="E16" i="29" s="1"/>
  <c r="K17" i="21"/>
  <c r="L17" i="21"/>
  <c r="F16" i="31" s="1"/>
  <c r="M17" i="21"/>
  <c r="F16" i="29" s="1"/>
  <c r="N17" i="21"/>
  <c r="O17" i="21"/>
  <c r="G16" i="31" s="1"/>
  <c r="P17" i="21"/>
  <c r="Q17" i="21"/>
  <c r="R17" i="21"/>
  <c r="H16" i="31" s="1"/>
  <c r="S17" i="21"/>
  <c r="H16" i="29" s="1"/>
  <c r="T17" i="21"/>
  <c r="U17" i="21"/>
  <c r="I16" i="31" s="1"/>
  <c r="V17" i="21"/>
  <c r="I16" i="29" s="1"/>
  <c r="W17" i="21"/>
  <c r="X17" i="21"/>
  <c r="J16" i="31" s="1"/>
  <c r="Y17" i="21"/>
  <c r="J16" i="29" s="1"/>
  <c r="Z17" i="21"/>
  <c r="AA17" i="21"/>
  <c r="K16" i="31" s="1"/>
  <c r="AB17" i="21"/>
  <c r="AC17" i="21"/>
  <c r="AD17" i="21"/>
  <c r="L16" i="31" s="1"/>
  <c r="AE17" i="21"/>
  <c r="L16" i="29" s="1"/>
  <c r="AF17" i="21"/>
  <c r="AG17" i="21"/>
  <c r="M16" i="31" s="1"/>
  <c r="AH17" i="21"/>
  <c r="M16" i="29" s="1"/>
  <c r="AI17" i="21"/>
  <c r="C18" i="21"/>
  <c r="C17" i="31" s="1"/>
  <c r="D18" i="21"/>
  <c r="C17" i="29" s="1"/>
  <c r="E18" i="21"/>
  <c r="F18" i="21"/>
  <c r="D17" i="31" s="1"/>
  <c r="G18" i="21"/>
  <c r="D17" i="29" s="1"/>
  <c r="H18" i="21"/>
  <c r="I18" i="21"/>
  <c r="E17" i="31" s="1"/>
  <c r="J18" i="21"/>
  <c r="E17" i="29" s="1"/>
  <c r="K18" i="21"/>
  <c r="L18" i="21"/>
  <c r="F17" i="31" s="1"/>
  <c r="M18" i="21"/>
  <c r="F17" i="29" s="1"/>
  <c r="N18" i="21"/>
  <c r="O18" i="21"/>
  <c r="G17" i="31" s="1"/>
  <c r="P18" i="21"/>
  <c r="G17" i="29" s="1"/>
  <c r="Q18" i="21"/>
  <c r="R18" i="21"/>
  <c r="H17" i="31" s="1"/>
  <c r="S18" i="21"/>
  <c r="H17" i="29" s="1"/>
  <c r="T18" i="21"/>
  <c r="U18" i="21"/>
  <c r="I17" i="31" s="1"/>
  <c r="V18" i="21"/>
  <c r="I17" i="29" s="1"/>
  <c r="W18" i="21"/>
  <c r="X18" i="21"/>
  <c r="J17" i="31" s="1"/>
  <c r="Y18" i="21"/>
  <c r="J17" i="29" s="1"/>
  <c r="Z18" i="21"/>
  <c r="AA18" i="21"/>
  <c r="K17" i="31" s="1"/>
  <c r="AB18" i="21"/>
  <c r="K17" i="29" s="1"/>
  <c r="AC18" i="21"/>
  <c r="AD18" i="21"/>
  <c r="L17" i="31" s="1"/>
  <c r="AE18" i="21"/>
  <c r="L17" i="29" s="1"/>
  <c r="AF18" i="21"/>
  <c r="AG18" i="21"/>
  <c r="M17" i="31" s="1"/>
  <c r="AH18" i="21"/>
  <c r="M17" i="29" s="1"/>
  <c r="AI18" i="21"/>
  <c r="C19" i="21"/>
  <c r="C18" i="31" s="1"/>
  <c r="D19" i="21"/>
  <c r="C18" i="29" s="1"/>
  <c r="E19" i="21"/>
  <c r="F19" i="21"/>
  <c r="D18" i="31" s="1"/>
  <c r="G19" i="21"/>
  <c r="D18" i="29" s="1"/>
  <c r="H19" i="21"/>
  <c r="I19" i="21"/>
  <c r="E18" i="31" s="1"/>
  <c r="J19" i="21"/>
  <c r="E18" i="29" s="1"/>
  <c r="K19" i="21"/>
  <c r="L19" i="21"/>
  <c r="F18" i="31" s="1"/>
  <c r="M19" i="21"/>
  <c r="F18" i="29" s="1"/>
  <c r="N19" i="21"/>
  <c r="O19" i="21"/>
  <c r="G18" i="31" s="1"/>
  <c r="P19" i="21"/>
  <c r="G18" i="29" s="1"/>
  <c r="Q19" i="21"/>
  <c r="R19" i="21"/>
  <c r="H18" i="31" s="1"/>
  <c r="S19" i="21"/>
  <c r="H18" i="29" s="1"/>
  <c r="T19" i="21"/>
  <c r="U19" i="21"/>
  <c r="I18" i="31" s="1"/>
  <c r="V19" i="21"/>
  <c r="I18" i="29" s="1"/>
  <c r="W19" i="21"/>
  <c r="X19" i="21"/>
  <c r="J18" i="31" s="1"/>
  <c r="Y19" i="21"/>
  <c r="J18" i="29" s="1"/>
  <c r="Z19" i="21"/>
  <c r="AA19" i="21"/>
  <c r="K18" i="31" s="1"/>
  <c r="AB19" i="21"/>
  <c r="K18" i="29" s="1"/>
  <c r="AC19" i="21"/>
  <c r="AD19" i="21"/>
  <c r="L18" i="31" s="1"/>
  <c r="AE19" i="21"/>
  <c r="L18" i="29" s="1"/>
  <c r="AF19" i="21"/>
  <c r="AG19" i="21"/>
  <c r="M18" i="31" s="1"/>
  <c r="AH19" i="21"/>
  <c r="M18" i="29" s="1"/>
  <c r="AI19" i="21"/>
  <c r="C20" i="21"/>
  <c r="C19" i="31" s="1"/>
  <c r="D20" i="21"/>
  <c r="C19" i="29" s="1"/>
  <c r="E20" i="21"/>
  <c r="F20" i="21"/>
  <c r="D19" i="31" s="1"/>
  <c r="G20" i="21"/>
  <c r="D19" i="29" s="1"/>
  <c r="H20" i="21"/>
  <c r="I20" i="21"/>
  <c r="E19" i="31" s="1"/>
  <c r="J20" i="21"/>
  <c r="E19" i="29" s="1"/>
  <c r="K20" i="21"/>
  <c r="L20" i="21"/>
  <c r="F19" i="31" s="1"/>
  <c r="M20" i="21"/>
  <c r="F19" i="29" s="1"/>
  <c r="N20" i="21"/>
  <c r="O20" i="21"/>
  <c r="G19" i="31" s="1"/>
  <c r="P20" i="21"/>
  <c r="G19" i="29" s="1"/>
  <c r="Q20" i="21"/>
  <c r="R20" i="21"/>
  <c r="H19" i="31" s="1"/>
  <c r="S20" i="21"/>
  <c r="H19" i="29" s="1"/>
  <c r="T20" i="21"/>
  <c r="U20" i="21"/>
  <c r="I19" i="31" s="1"/>
  <c r="V20" i="21"/>
  <c r="I19" i="29" s="1"/>
  <c r="W20" i="21"/>
  <c r="X20" i="21"/>
  <c r="J19" i="31" s="1"/>
  <c r="Y20" i="21"/>
  <c r="J19" i="29" s="1"/>
  <c r="Z20" i="21"/>
  <c r="AA20" i="21"/>
  <c r="K19" i="31" s="1"/>
  <c r="AB20" i="21"/>
  <c r="K19" i="29" s="1"/>
  <c r="AC20" i="21"/>
  <c r="AD20" i="21"/>
  <c r="L19" i="31" s="1"/>
  <c r="AE20" i="21"/>
  <c r="L19" i="29" s="1"/>
  <c r="AF20" i="21"/>
  <c r="AG20" i="21"/>
  <c r="M19" i="31" s="1"/>
  <c r="AH20" i="21"/>
  <c r="M19" i="29" s="1"/>
  <c r="AI20" i="21"/>
  <c r="C21" i="21"/>
  <c r="C20" i="31" s="1"/>
  <c r="D21" i="21"/>
  <c r="C20" i="29" s="1"/>
  <c r="E21" i="21"/>
  <c r="F21" i="21"/>
  <c r="D20" i="31" s="1"/>
  <c r="G21" i="21"/>
  <c r="D20" i="29" s="1"/>
  <c r="H21" i="21"/>
  <c r="I21" i="21"/>
  <c r="E20" i="31" s="1"/>
  <c r="J21" i="21"/>
  <c r="E20" i="29" s="1"/>
  <c r="K21" i="21"/>
  <c r="L21" i="21"/>
  <c r="F20" i="31" s="1"/>
  <c r="M21" i="21"/>
  <c r="F20" i="29" s="1"/>
  <c r="N21" i="21"/>
  <c r="O21" i="21"/>
  <c r="G20" i="31" s="1"/>
  <c r="P21" i="21"/>
  <c r="G20" i="29" s="1"/>
  <c r="Q21" i="21"/>
  <c r="R21" i="21"/>
  <c r="H20" i="31" s="1"/>
  <c r="S21" i="21"/>
  <c r="H20" i="29" s="1"/>
  <c r="T21" i="21"/>
  <c r="U21" i="21"/>
  <c r="I20" i="31" s="1"/>
  <c r="V21" i="21"/>
  <c r="I20" i="29" s="1"/>
  <c r="W21" i="21"/>
  <c r="X21" i="21"/>
  <c r="J20" i="31" s="1"/>
  <c r="Y21" i="21"/>
  <c r="J20" i="29" s="1"/>
  <c r="Z21" i="21"/>
  <c r="AA21" i="21"/>
  <c r="K20" i="31" s="1"/>
  <c r="AB21" i="21"/>
  <c r="K20" i="29" s="1"/>
  <c r="AC21" i="21"/>
  <c r="AD21" i="21"/>
  <c r="L20" i="31" s="1"/>
  <c r="AE21" i="21"/>
  <c r="L20" i="29" s="1"/>
  <c r="AF21" i="21"/>
  <c r="AG21" i="21"/>
  <c r="M20" i="31" s="1"/>
  <c r="AH21" i="21"/>
  <c r="M20" i="29" s="1"/>
  <c r="AI21" i="21"/>
  <c r="C22" i="21"/>
  <c r="C21" i="31" s="1"/>
  <c r="D22" i="21"/>
  <c r="C21" i="29" s="1"/>
  <c r="E22" i="21"/>
  <c r="F22" i="21"/>
  <c r="D21" i="31" s="1"/>
  <c r="G22" i="21"/>
  <c r="D21" i="29" s="1"/>
  <c r="H22" i="21"/>
  <c r="I22" i="21"/>
  <c r="E21" i="31" s="1"/>
  <c r="J22" i="21"/>
  <c r="E21" i="29" s="1"/>
  <c r="K22" i="21"/>
  <c r="L22" i="21"/>
  <c r="F21" i="31" s="1"/>
  <c r="M22" i="21"/>
  <c r="F21" i="29" s="1"/>
  <c r="N22" i="21"/>
  <c r="O22" i="21"/>
  <c r="G21" i="31" s="1"/>
  <c r="P22" i="21"/>
  <c r="G21" i="29" s="1"/>
  <c r="Q22" i="21"/>
  <c r="R22" i="21"/>
  <c r="H21" i="31" s="1"/>
  <c r="S22" i="21"/>
  <c r="H21" i="29" s="1"/>
  <c r="T22" i="21"/>
  <c r="U22" i="21"/>
  <c r="I21" i="31" s="1"/>
  <c r="V22" i="21"/>
  <c r="I21" i="29" s="1"/>
  <c r="W22" i="21"/>
  <c r="X22" i="21"/>
  <c r="J21" i="31" s="1"/>
  <c r="Y22" i="21"/>
  <c r="J21" i="29" s="1"/>
  <c r="Z22" i="21"/>
  <c r="AA22" i="21"/>
  <c r="K21" i="31" s="1"/>
  <c r="AB22" i="21"/>
  <c r="K21" i="29" s="1"/>
  <c r="AC22" i="21"/>
  <c r="AD22" i="21"/>
  <c r="L21" i="31" s="1"/>
  <c r="AE22" i="21"/>
  <c r="L21" i="29" s="1"/>
  <c r="AF22" i="21"/>
  <c r="AG22" i="21"/>
  <c r="M21" i="31" s="1"/>
  <c r="AH22" i="21"/>
  <c r="M21" i="29" s="1"/>
  <c r="AI22" i="21"/>
  <c r="C23" i="21"/>
  <c r="C22" i="31" s="1"/>
  <c r="D23" i="21"/>
  <c r="C22" i="29" s="1"/>
  <c r="E23" i="21"/>
  <c r="F23" i="21"/>
  <c r="D22" i="31" s="1"/>
  <c r="G23" i="21"/>
  <c r="D22" i="29" s="1"/>
  <c r="H23" i="21"/>
  <c r="I23" i="21"/>
  <c r="E22" i="31" s="1"/>
  <c r="J23" i="21"/>
  <c r="E22" i="29" s="1"/>
  <c r="K23" i="21"/>
  <c r="L23" i="21"/>
  <c r="F22" i="31" s="1"/>
  <c r="M23" i="21"/>
  <c r="F22" i="29" s="1"/>
  <c r="N23" i="21"/>
  <c r="O23" i="21"/>
  <c r="G22" i="31" s="1"/>
  <c r="P23" i="21"/>
  <c r="G22" i="29" s="1"/>
  <c r="Q23" i="21"/>
  <c r="R23" i="21"/>
  <c r="H22" i="31" s="1"/>
  <c r="S23" i="21"/>
  <c r="H22" i="29" s="1"/>
  <c r="T23" i="21"/>
  <c r="U23" i="21"/>
  <c r="I22" i="31" s="1"/>
  <c r="V23" i="21"/>
  <c r="I22" i="29" s="1"/>
  <c r="W23" i="21"/>
  <c r="X23" i="21"/>
  <c r="J22" i="31" s="1"/>
  <c r="Y23" i="21"/>
  <c r="J22" i="29" s="1"/>
  <c r="Z23" i="21"/>
  <c r="AA23" i="21"/>
  <c r="K22" i="31" s="1"/>
  <c r="AB23" i="21"/>
  <c r="K22" i="29" s="1"/>
  <c r="AC23" i="21"/>
  <c r="AD23" i="21"/>
  <c r="L22" i="31" s="1"/>
  <c r="AE23" i="21"/>
  <c r="L22" i="29" s="1"/>
  <c r="AF23" i="21"/>
  <c r="AG23" i="21"/>
  <c r="M22" i="31" s="1"/>
  <c r="AH23" i="21"/>
  <c r="M22" i="29" s="1"/>
  <c r="AI23" i="21"/>
  <c r="C24" i="21"/>
  <c r="C23" i="31" s="1"/>
  <c r="D24" i="21"/>
  <c r="C23" i="29" s="1"/>
  <c r="E24" i="21"/>
  <c r="F24" i="21"/>
  <c r="D23" i="31" s="1"/>
  <c r="G24" i="21"/>
  <c r="D23" i="29" s="1"/>
  <c r="H24" i="21"/>
  <c r="I24" i="21"/>
  <c r="E23" i="31" s="1"/>
  <c r="J24" i="21"/>
  <c r="E23" i="29" s="1"/>
  <c r="K24" i="21"/>
  <c r="L24" i="21"/>
  <c r="F23" i="31" s="1"/>
  <c r="M24" i="21"/>
  <c r="F23" i="29" s="1"/>
  <c r="N24" i="21"/>
  <c r="O24" i="21"/>
  <c r="G23" i="31" s="1"/>
  <c r="P24" i="21"/>
  <c r="G23" i="29" s="1"/>
  <c r="Q24" i="21"/>
  <c r="R24" i="21"/>
  <c r="H23" i="31" s="1"/>
  <c r="S24" i="21"/>
  <c r="H23" i="29" s="1"/>
  <c r="T24" i="21"/>
  <c r="U24" i="21"/>
  <c r="I23" i="31" s="1"/>
  <c r="V24" i="21"/>
  <c r="I23" i="29" s="1"/>
  <c r="W24" i="21"/>
  <c r="X24" i="21"/>
  <c r="J23" i="31" s="1"/>
  <c r="Y24" i="21"/>
  <c r="J23" i="29" s="1"/>
  <c r="Z24" i="21"/>
  <c r="AA24" i="21"/>
  <c r="K23" i="31" s="1"/>
  <c r="AB24" i="21"/>
  <c r="K23" i="29" s="1"/>
  <c r="AC24" i="21"/>
  <c r="AD24" i="21"/>
  <c r="L23" i="31" s="1"/>
  <c r="AE24" i="21"/>
  <c r="L23" i="29" s="1"/>
  <c r="AF24" i="21"/>
  <c r="AG24" i="21"/>
  <c r="M23" i="31" s="1"/>
  <c r="AH24" i="21"/>
  <c r="M23" i="29" s="1"/>
  <c r="AI24" i="21"/>
  <c r="C25" i="21"/>
  <c r="C24" i="31" s="1"/>
  <c r="D25" i="21"/>
  <c r="C24" i="29" s="1"/>
  <c r="E25" i="21"/>
  <c r="F25" i="21"/>
  <c r="D24" i="31" s="1"/>
  <c r="G25" i="21"/>
  <c r="D24" i="29" s="1"/>
  <c r="H25" i="21"/>
  <c r="I25" i="21"/>
  <c r="E24" i="31" s="1"/>
  <c r="J25" i="21"/>
  <c r="E24" i="29" s="1"/>
  <c r="K25" i="21"/>
  <c r="L25" i="21"/>
  <c r="F24" i="31" s="1"/>
  <c r="M25" i="21"/>
  <c r="F24" i="29" s="1"/>
  <c r="N25" i="21"/>
  <c r="O25" i="21"/>
  <c r="G24" i="31" s="1"/>
  <c r="P25" i="21"/>
  <c r="G24" i="29" s="1"/>
  <c r="Q25" i="21"/>
  <c r="R25" i="21"/>
  <c r="H24" i="31" s="1"/>
  <c r="S25" i="21"/>
  <c r="H24" i="29" s="1"/>
  <c r="T25" i="21"/>
  <c r="U25" i="21"/>
  <c r="I24" i="31" s="1"/>
  <c r="V25" i="21"/>
  <c r="I24" i="29" s="1"/>
  <c r="W25" i="21"/>
  <c r="X25" i="21"/>
  <c r="J24" i="31" s="1"/>
  <c r="Y25" i="21"/>
  <c r="J24" i="29" s="1"/>
  <c r="Z25" i="21"/>
  <c r="AA25" i="21"/>
  <c r="K24" i="31" s="1"/>
  <c r="AB25" i="21"/>
  <c r="K24" i="29" s="1"/>
  <c r="AC25" i="21"/>
  <c r="AD25" i="21"/>
  <c r="L24" i="31" s="1"/>
  <c r="AE25" i="21"/>
  <c r="L24" i="29" s="1"/>
  <c r="AF25" i="21"/>
  <c r="AG25" i="21"/>
  <c r="M24" i="31" s="1"/>
  <c r="AH25" i="21"/>
  <c r="M24" i="29" s="1"/>
  <c r="AI25" i="21"/>
  <c r="C26" i="21"/>
  <c r="C25" i="31" s="1"/>
  <c r="D26" i="21"/>
  <c r="C25" i="29" s="1"/>
  <c r="E26" i="21"/>
  <c r="F26" i="21"/>
  <c r="D25" i="31" s="1"/>
  <c r="G26" i="21"/>
  <c r="D25" i="29" s="1"/>
  <c r="H26" i="21"/>
  <c r="I26" i="21"/>
  <c r="E25" i="31" s="1"/>
  <c r="J26" i="21"/>
  <c r="E25" i="29" s="1"/>
  <c r="K26" i="21"/>
  <c r="L26" i="21"/>
  <c r="F25" i="31" s="1"/>
  <c r="M26" i="21"/>
  <c r="F25" i="29" s="1"/>
  <c r="N26" i="21"/>
  <c r="O26" i="21"/>
  <c r="G25" i="31" s="1"/>
  <c r="P26" i="21"/>
  <c r="G25" i="29" s="1"/>
  <c r="Q26" i="21"/>
  <c r="R26" i="21"/>
  <c r="H25" i="31" s="1"/>
  <c r="S26" i="21"/>
  <c r="H25" i="29" s="1"/>
  <c r="T26" i="21"/>
  <c r="U26" i="21"/>
  <c r="I25" i="31" s="1"/>
  <c r="V26" i="21"/>
  <c r="I25" i="29" s="1"/>
  <c r="W26" i="21"/>
  <c r="X26" i="21"/>
  <c r="J25" i="31" s="1"/>
  <c r="Y26" i="21"/>
  <c r="J25" i="29" s="1"/>
  <c r="Z26" i="21"/>
  <c r="AA26" i="21"/>
  <c r="K25" i="31" s="1"/>
  <c r="AB26" i="21"/>
  <c r="K25" i="29" s="1"/>
  <c r="AC26" i="21"/>
  <c r="AD26" i="21"/>
  <c r="L25" i="31" s="1"/>
  <c r="AE26" i="21"/>
  <c r="L25" i="29" s="1"/>
  <c r="AF26" i="21"/>
  <c r="AG26" i="21"/>
  <c r="M25" i="31" s="1"/>
  <c r="AH26" i="21"/>
  <c r="M25" i="29" s="1"/>
  <c r="AI26" i="21"/>
  <c r="C27" i="21"/>
  <c r="C26" i="31" s="1"/>
  <c r="D27" i="21"/>
  <c r="C26" i="29" s="1"/>
  <c r="E27" i="21"/>
  <c r="F27" i="21"/>
  <c r="D26" i="31" s="1"/>
  <c r="G27" i="21"/>
  <c r="D26" i="29" s="1"/>
  <c r="H27" i="21"/>
  <c r="I27" i="21"/>
  <c r="E26" i="31" s="1"/>
  <c r="J27" i="21"/>
  <c r="E26" i="29" s="1"/>
  <c r="K27" i="21"/>
  <c r="L27" i="21"/>
  <c r="F26" i="31" s="1"/>
  <c r="M27" i="21"/>
  <c r="F26" i="29" s="1"/>
  <c r="N27" i="21"/>
  <c r="O27" i="21"/>
  <c r="G26" i="31" s="1"/>
  <c r="P27" i="21"/>
  <c r="G26" i="29" s="1"/>
  <c r="Q27" i="21"/>
  <c r="R27" i="21"/>
  <c r="H26" i="31" s="1"/>
  <c r="S27" i="21"/>
  <c r="H26" i="29" s="1"/>
  <c r="T27" i="21"/>
  <c r="U27" i="21"/>
  <c r="I26" i="31" s="1"/>
  <c r="V27" i="21"/>
  <c r="I26" i="29" s="1"/>
  <c r="W27" i="21"/>
  <c r="X27" i="21"/>
  <c r="J26" i="31" s="1"/>
  <c r="Y27" i="21"/>
  <c r="J26" i="29" s="1"/>
  <c r="Z27" i="21"/>
  <c r="AA27" i="21"/>
  <c r="K26" i="31" s="1"/>
  <c r="AB27" i="21"/>
  <c r="K26" i="29" s="1"/>
  <c r="AC27" i="21"/>
  <c r="AD27" i="21"/>
  <c r="L26" i="31" s="1"/>
  <c r="AE27" i="21"/>
  <c r="L26" i="29" s="1"/>
  <c r="AF27" i="21"/>
  <c r="AG27" i="21"/>
  <c r="M26" i="31" s="1"/>
  <c r="AH27" i="21"/>
  <c r="M26" i="29" s="1"/>
  <c r="AI27" i="21"/>
  <c r="C28" i="21"/>
  <c r="C27" i="31" s="1"/>
  <c r="D28" i="21"/>
  <c r="C27" i="29" s="1"/>
  <c r="E28" i="21"/>
  <c r="F28" i="21"/>
  <c r="D27" i="31" s="1"/>
  <c r="G28" i="21"/>
  <c r="D27" i="29" s="1"/>
  <c r="H28" i="21"/>
  <c r="I28" i="21"/>
  <c r="E27" i="31" s="1"/>
  <c r="J28" i="21"/>
  <c r="E27" i="29" s="1"/>
  <c r="K28" i="21"/>
  <c r="L28" i="21"/>
  <c r="F27" i="31" s="1"/>
  <c r="M28" i="21"/>
  <c r="F27" i="29" s="1"/>
  <c r="N28" i="21"/>
  <c r="O28" i="21"/>
  <c r="G27" i="31" s="1"/>
  <c r="P28" i="21"/>
  <c r="G27" i="29" s="1"/>
  <c r="Q28" i="21"/>
  <c r="R28" i="21"/>
  <c r="H27" i="31" s="1"/>
  <c r="S28" i="21"/>
  <c r="H27" i="29" s="1"/>
  <c r="T28" i="21"/>
  <c r="U28" i="21"/>
  <c r="I27" i="31" s="1"/>
  <c r="V28" i="21"/>
  <c r="I27" i="29" s="1"/>
  <c r="W28" i="21"/>
  <c r="X28" i="21"/>
  <c r="J27" i="31" s="1"/>
  <c r="Y28" i="21"/>
  <c r="J27" i="29" s="1"/>
  <c r="Z28" i="21"/>
  <c r="AA28" i="21"/>
  <c r="K27" i="31" s="1"/>
  <c r="AB28" i="21"/>
  <c r="K27" i="29" s="1"/>
  <c r="AC28" i="21"/>
  <c r="AD28" i="21"/>
  <c r="L27" i="31" s="1"/>
  <c r="AE28" i="21"/>
  <c r="L27" i="29" s="1"/>
  <c r="AF28" i="21"/>
  <c r="AG28" i="21"/>
  <c r="M27" i="31" s="1"/>
  <c r="AH28" i="21"/>
  <c r="M27" i="29" s="1"/>
  <c r="AI28" i="21"/>
  <c r="C29" i="21"/>
  <c r="C28" i="31" s="1"/>
  <c r="D29" i="21"/>
  <c r="C28" i="29" s="1"/>
  <c r="E29" i="21"/>
  <c r="F29" i="21"/>
  <c r="D28" i="31" s="1"/>
  <c r="G29" i="21"/>
  <c r="D28" i="29" s="1"/>
  <c r="H29" i="21"/>
  <c r="I29" i="21"/>
  <c r="E28" i="31" s="1"/>
  <c r="J29" i="21"/>
  <c r="E28" i="29" s="1"/>
  <c r="K29" i="21"/>
  <c r="L29" i="21"/>
  <c r="F28" i="31" s="1"/>
  <c r="M29" i="21"/>
  <c r="F28" i="29" s="1"/>
  <c r="N29" i="21"/>
  <c r="O29" i="21"/>
  <c r="G28" i="31" s="1"/>
  <c r="P29" i="21"/>
  <c r="G28" i="29" s="1"/>
  <c r="Q29" i="21"/>
  <c r="R29" i="21"/>
  <c r="H28" i="31" s="1"/>
  <c r="S29" i="21"/>
  <c r="H28" i="29" s="1"/>
  <c r="T29" i="21"/>
  <c r="U29" i="21"/>
  <c r="I28" i="31" s="1"/>
  <c r="V29" i="21"/>
  <c r="I28" i="29" s="1"/>
  <c r="W29" i="21"/>
  <c r="X29" i="21"/>
  <c r="J28" i="31" s="1"/>
  <c r="Y29" i="21"/>
  <c r="J28" i="29" s="1"/>
  <c r="Z29" i="21"/>
  <c r="AA29" i="21"/>
  <c r="K28" i="31" s="1"/>
  <c r="AB29" i="21"/>
  <c r="K28" i="29" s="1"/>
  <c r="AC29" i="21"/>
  <c r="AD29" i="21"/>
  <c r="L28" i="31" s="1"/>
  <c r="AE29" i="21"/>
  <c r="L28" i="29" s="1"/>
  <c r="AF29" i="21"/>
  <c r="AG29" i="21"/>
  <c r="M28" i="31" s="1"/>
  <c r="AH29" i="21"/>
  <c r="M28" i="29" s="1"/>
  <c r="AI29" i="21"/>
  <c r="C30" i="21"/>
  <c r="C29" i="31" s="1"/>
  <c r="D30" i="21"/>
  <c r="C29" i="29" s="1"/>
  <c r="E30" i="21"/>
  <c r="F30" i="21"/>
  <c r="D29" i="31" s="1"/>
  <c r="G30" i="21"/>
  <c r="D29" i="29" s="1"/>
  <c r="H30" i="21"/>
  <c r="I30" i="21"/>
  <c r="E29" i="31" s="1"/>
  <c r="J30" i="21"/>
  <c r="E29" i="29" s="1"/>
  <c r="K30" i="21"/>
  <c r="L30" i="21"/>
  <c r="F29" i="31" s="1"/>
  <c r="M30" i="21"/>
  <c r="F29" i="29" s="1"/>
  <c r="N30" i="21"/>
  <c r="O30" i="21"/>
  <c r="P30" i="21"/>
  <c r="G29" i="29" s="1"/>
  <c r="Q30" i="21"/>
  <c r="R30" i="21"/>
  <c r="H29" i="31" s="1"/>
  <c r="S30" i="21"/>
  <c r="H29" i="29" s="1"/>
  <c r="T30" i="21"/>
  <c r="U30" i="21"/>
  <c r="I29" i="31" s="1"/>
  <c r="V30" i="21"/>
  <c r="I29" i="29" s="1"/>
  <c r="W30" i="21"/>
  <c r="X30" i="21"/>
  <c r="J29" i="31" s="1"/>
  <c r="Y30" i="21"/>
  <c r="J29" i="29" s="1"/>
  <c r="Z30" i="21"/>
  <c r="AA30" i="21"/>
  <c r="K29" i="31" s="1"/>
  <c r="AB30" i="21"/>
  <c r="K29" i="29" s="1"/>
  <c r="AC30" i="21"/>
  <c r="AD30" i="21"/>
  <c r="L29" i="31" s="1"/>
  <c r="AE30" i="21"/>
  <c r="L29" i="29" s="1"/>
  <c r="AF30" i="21"/>
  <c r="AG30" i="21"/>
  <c r="M29" i="31" s="1"/>
  <c r="AH30" i="21"/>
  <c r="M29" i="29" s="1"/>
  <c r="AI30" i="21"/>
  <c r="C31" i="21"/>
  <c r="C30" i="31" s="1"/>
  <c r="D31" i="21"/>
  <c r="C30" i="29" s="1"/>
  <c r="E31" i="21"/>
  <c r="F31" i="21"/>
  <c r="D30" i="31" s="1"/>
  <c r="G31" i="21"/>
  <c r="D30" i="29" s="1"/>
  <c r="H31" i="21"/>
  <c r="I31" i="21"/>
  <c r="E30" i="31" s="1"/>
  <c r="J31" i="21"/>
  <c r="E30" i="29" s="1"/>
  <c r="K31" i="21"/>
  <c r="L31" i="21"/>
  <c r="F30" i="31" s="1"/>
  <c r="M31" i="21"/>
  <c r="F30" i="29" s="1"/>
  <c r="N31" i="21"/>
  <c r="O31" i="21"/>
  <c r="G30" i="31" s="1"/>
  <c r="P31" i="21"/>
  <c r="G30" i="29" s="1"/>
  <c r="Q31" i="21"/>
  <c r="R31" i="21"/>
  <c r="H30" i="31" s="1"/>
  <c r="S31" i="21"/>
  <c r="H30" i="29" s="1"/>
  <c r="T31" i="21"/>
  <c r="U31" i="21"/>
  <c r="I30" i="31" s="1"/>
  <c r="V31" i="21"/>
  <c r="I30" i="29" s="1"/>
  <c r="W31" i="21"/>
  <c r="X31" i="21"/>
  <c r="J30" i="31" s="1"/>
  <c r="Y31" i="21"/>
  <c r="J30" i="29" s="1"/>
  <c r="Z31" i="21"/>
  <c r="AA31" i="21"/>
  <c r="K30" i="31" s="1"/>
  <c r="AB31" i="21"/>
  <c r="K30" i="29" s="1"/>
  <c r="AC31" i="21"/>
  <c r="AD31" i="21"/>
  <c r="L30" i="31" s="1"/>
  <c r="AE31" i="21"/>
  <c r="L30" i="29" s="1"/>
  <c r="AF31" i="21"/>
  <c r="AG31" i="21"/>
  <c r="M30" i="31" s="1"/>
  <c r="AH31" i="21"/>
  <c r="M30" i="29" s="1"/>
  <c r="AI31" i="21"/>
  <c r="C32" i="21"/>
  <c r="C31" i="31" s="1"/>
  <c r="D32" i="21"/>
  <c r="C31" i="29" s="1"/>
  <c r="E32" i="21"/>
  <c r="F32" i="21"/>
  <c r="D31" i="31" s="1"/>
  <c r="G32" i="21"/>
  <c r="D31" i="29" s="1"/>
  <c r="H32" i="21"/>
  <c r="I32" i="21"/>
  <c r="E31" i="31" s="1"/>
  <c r="J32" i="21"/>
  <c r="E31" i="29" s="1"/>
  <c r="K32" i="21"/>
  <c r="L32" i="21"/>
  <c r="F31" i="31" s="1"/>
  <c r="M32" i="21"/>
  <c r="F31" i="29" s="1"/>
  <c r="N32" i="21"/>
  <c r="O32" i="21"/>
  <c r="G31" i="31" s="1"/>
  <c r="P32" i="21"/>
  <c r="G31" i="29" s="1"/>
  <c r="Q32" i="21"/>
  <c r="R32" i="21"/>
  <c r="H31" i="31" s="1"/>
  <c r="S32" i="21"/>
  <c r="H31" i="29" s="1"/>
  <c r="T32" i="21"/>
  <c r="U32" i="21"/>
  <c r="I31" i="31" s="1"/>
  <c r="V32" i="21"/>
  <c r="I31" i="29" s="1"/>
  <c r="W32" i="21"/>
  <c r="X32" i="21"/>
  <c r="J31" i="31" s="1"/>
  <c r="Y32" i="21"/>
  <c r="J31" i="29" s="1"/>
  <c r="Z32" i="21"/>
  <c r="AA32" i="21"/>
  <c r="K31" i="31" s="1"/>
  <c r="AB32" i="21"/>
  <c r="K31" i="29" s="1"/>
  <c r="AC32" i="21"/>
  <c r="AD32" i="21"/>
  <c r="L31" i="31" s="1"/>
  <c r="AE32" i="21"/>
  <c r="L31" i="29" s="1"/>
  <c r="AF32" i="21"/>
  <c r="AG32" i="21"/>
  <c r="M31" i="31" s="1"/>
  <c r="AH32" i="21"/>
  <c r="M31" i="29" s="1"/>
  <c r="AI32" i="21"/>
  <c r="C33" i="21"/>
  <c r="C32" i="31" s="1"/>
  <c r="D33" i="21"/>
  <c r="C32" i="29" s="1"/>
  <c r="E33" i="21"/>
  <c r="F33" i="21"/>
  <c r="D32" i="31" s="1"/>
  <c r="G33" i="21"/>
  <c r="D32" i="29" s="1"/>
  <c r="H33" i="21"/>
  <c r="I33" i="21"/>
  <c r="E32" i="31" s="1"/>
  <c r="J33" i="21"/>
  <c r="E32" i="29" s="1"/>
  <c r="K33" i="21"/>
  <c r="L33" i="21"/>
  <c r="F32" i="31" s="1"/>
  <c r="M33" i="21"/>
  <c r="F32" i="29" s="1"/>
  <c r="N33" i="21"/>
  <c r="O33" i="21"/>
  <c r="G32" i="31" s="1"/>
  <c r="P33" i="21"/>
  <c r="G32" i="29" s="1"/>
  <c r="Q33" i="21"/>
  <c r="R33" i="21"/>
  <c r="H32" i="31" s="1"/>
  <c r="S33" i="21"/>
  <c r="H32" i="29" s="1"/>
  <c r="T33" i="21"/>
  <c r="U33" i="21"/>
  <c r="I32" i="31" s="1"/>
  <c r="V33" i="21"/>
  <c r="I32" i="29" s="1"/>
  <c r="W33" i="21"/>
  <c r="X33" i="21"/>
  <c r="J32" i="31" s="1"/>
  <c r="Y33" i="21"/>
  <c r="J32" i="29" s="1"/>
  <c r="Z33" i="21"/>
  <c r="AA33" i="21"/>
  <c r="K32" i="31" s="1"/>
  <c r="AB33" i="21"/>
  <c r="K32" i="29" s="1"/>
  <c r="AC33" i="21"/>
  <c r="AD33" i="21"/>
  <c r="L32" i="31" s="1"/>
  <c r="AE33" i="21"/>
  <c r="L32" i="29" s="1"/>
  <c r="AF33" i="21"/>
  <c r="AG33" i="21"/>
  <c r="M32" i="31" s="1"/>
  <c r="AH33" i="21"/>
  <c r="M32" i="29" s="1"/>
  <c r="AI33" i="21"/>
  <c r="C34" i="21"/>
  <c r="C33" i="31" s="1"/>
  <c r="D34" i="21"/>
  <c r="C33" i="29" s="1"/>
  <c r="E34" i="21"/>
  <c r="F34" i="21"/>
  <c r="D33" i="31" s="1"/>
  <c r="G34" i="21"/>
  <c r="D33" i="29" s="1"/>
  <c r="H34" i="21"/>
  <c r="I34" i="21"/>
  <c r="E33" i="31" s="1"/>
  <c r="J34" i="21"/>
  <c r="E33" i="29" s="1"/>
  <c r="K34" i="21"/>
  <c r="L34" i="21"/>
  <c r="F33" i="31" s="1"/>
  <c r="M34" i="21"/>
  <c r="F33" i="29" s="1"/>
  <c r="N34" i="21"/>
  <c r="O34" i="21"/>
  <c r="G33" i="31" s="1"/>
  <c r="P34" i="21"/>
  <c r="G33" i="29" s="1"/>
  <c r="Q34" i="21"/>
  <c r="R34" i="21"/>
  <c r="H33" i="31" s="1"/>
  <c r="S34" i="21"/>
  <c r="H33" i="29" s="1"/>
  <c r="T34" i="21"/>
  <c r="U34" i="21"/>
  <c r="I33" i="31" s="1"/>
  <c r="V34" i="21"/>
  <c r="I33" i="29" s="1"/>
  <c r="W34" i="21"/>
  <c r="X34" i="21"/>
  <c r="J33" i="31" s="1"/>
  <c r="Y34" i="21"/>
  <c r="J33" i="29" s="1"/>
  <c r="Z34" i="21"/>
  <c r="AA34" i="21"/>
  <c r="K33" i="31" s="1"/>
  <c r="AB34" i="21"/>
  <c r="K33" i="29" s="1"/>
  <c r="AC34" i="21"/>
  <c r="AD34" i="21"/>
  <c r="L33" i="31" s="1"/>
  <c r="AE34" i="21"/>
  <c r="L33" i="29" s="1"/>
  <c r="AF34" i="21"/>
  <c r="AG34" i="21"/>
  <c r="M33" i="31" s="1"/>
  <c r="AH34" i="21"/>
  <c r="M33" i="29" s="1"/>
  <c r="AI34" i="21"/>
  <c r="C35" i="21"/>
  <c r="C34" i="31" s="1"/>
  <c r="D35" i="21"/>
  <c r="C34" i="29" s="1"/>
  <c r="E35" i="21"/>
  <c r="F35" i="21"/>
  <c r="D34" i="31" s="1"/>
  <c r="G35" i="21"/>
  <c r="D34" i="29" s="1"/>
  <c r="H35" i="21"/>
  <c r="I35" i="21"/>
  <c r="E34" i="31" s="1"/>
  <c r="J35" i="21"/>
  <c r="E34" i="29" s="1"/>
  <c r="K35" i="21"/>
  <c r="L35" i="21"/>
  <c r="F34" i="31" s="1"/>
  <c r="M35" i="21"/>
  <c r="F34" i="29" s="1"/>
  <c r="N35" i="21"/>
  <c r="O35" i="21"/>
  <c r="G34" i="31" s="1"/>
  <c r="P35" i="21"/>
  <c r="G34" i="29" s="1"/>
  <c r="Q35" i="21"/>
  <c r="R35" i="21"/>
  <c r="H34" i="31" s="1"/>
  <c r="S35" i="21"/>
  <c r="H34" i="29" s="1"/>
  <c r="T35" i="21"/>
  <c r="U35" i="21"/>
  <c r="I34" i="31" s="1"/>
  <c r="V35" i="21"/>
  <c r="I34" i="29" s="1"/>
  <c r="W35" i="21"/>
  <c r="X35" i="21"/>
  <c r="J34" i="31" s="1"/>
  <c r="Y35" i="21"/>
  <c r="J34" i="29" s="1"/>
  <c r="Z35" i="21"/>
  <c r="AA35" i="21"/>
  <c r="K34" i="31" s="1"/>
  <c r="AB35" i="21"/>
  <c r="K34" i="29" s="1"/>
  <c r="AC35" i="21"/>
  <c r="AD35" i="21"/>
  <c r="L34" i="31" s="1"/>
  <c r="AE35" i="21"/>
  <c r="L34" i="29" s="1"/>
  <c r="AF35" i="21"/>
  <c r="AG35" i="21"/>
  <c r="M34" i="31" s="1"/>
  <c r="AH35" i="21"/>
  <c r="M34" i="29" s="1"/>
  <c r="AI35" i="21"/>
  <c r="C36" i="21"/>
  <c r="C35" i="31" s="1"/>
  <c r="D36" i="21"/>
  <c r="C35" i="29" s="1"/>
  <c r="E36" i="21"/>
  <c r="F36" i="21"/>
  <c r="D35" i="31" s="1"/>
  <c r="G36" i="21"/>
  <c r="D35" i="29" s="1"/>
  <c r="H36" i="21"/>
  <c r="I36" i="21"/>
  <c r="E35" i="31" s="1"/>
  <c r="J36" i="21"/>
  <c r="E35" i="29" s="1"/>
  <c r="K36" i="21"/>
  <c r="L36" i="21"/>
  <c r="F35" i="31" s="1"/>
  <c r="M36" i="21"/>
  <c r="F35" i="29" s="1"/>
  <c r="N36" i="21"/>
  <c r="O36" i="21"/>
  <c r="G35" i="31" s="1"/>
  <c r="P36" i="21"/>
  <c r="G35" i="29" s="1"/>
  <c r="Q36" i="21"/>
  <c r="R36" i="21"/>
  <c r="H35" i="31" s="1"/>
  <c r="S36" i="21"/>
  <c r="H35" i="29" s="1"/>
  <c r="T36" i="21"/>
  <c r="U36" i="21"/>
  <c r="I35" i="31" s="1"/>
  <c r="V36" i="21"/>
  <c r="I35" i="29" s="1"/>
  <c r="W36" i="21"/>
  <c r="X36" i="21"/>
  <c r="J35" i="31" s="1"/>
  <c r="Y36" i="21"/>
  <c r="J35" i="29" s="1"/>
  <c r="Z36" i="21"/>
  <c r="AA36" i="21"/>
  <c r="K35" i="31" s="1"/>
  <c r="AB36" i="21"/>
  <c r="K35" i="29" s="1"/>
  <c r="AC36" i="21"/>
  <c r="AD36" i="21"/>
  <c r="L35" i="31" s="1"/>
  <c r="AE36" i="21"/>
  <c r="L35" i="29" s="1"/>
  <c r="AF36" i="21"/>
  <c r="AG36" i="21"/>
  <c r="M35" i="31" s="1"/>
  <c r="AH36" i="21"/>
  <c r="M35" i="29" s="1"/>
  <c r="AI36" i="21"/>
  <c r="C37" i="21"/>
  <c r="C36" i="31" s="1"/>
  <c r="D37" i="21"/>
  <c r="C36" i="29" s="1"/>
  <c r="E37" i="21"/>
  <c r="F37" i="21"/>
  <c r="D36" i="31" s="1"/>
  <c r="G37" i="21"/>
  <c r="D36" i="29" s="1"/>
  <c r="H37" i="21"/>
  <c r="I37" i="21"/>
  <c r="E36" i="31" s="1"/>
  <c r="J37" i="21"/>
  <c r="E36" i="29" s="1"/>
  <c r="K37" i="21"/>
  <c r="L37" i="21"/>
  <c r="F36" i="31" s="1"/>
  <c r="M37" i="21"/>
  <c r="F36" i="29" s="1"/>
  <c r="N37" i="21"/>
  <c r="O37" i="21"/>
  <c r="G36" i="31" s="1"/>
  <c r="P37" i="21"/>
  <c r="G36" i="29" s="1"/>
  <c r="Q37" i="21"/>
  <c r="R37" i="21"/>
  <c r="H36" i="31" s="1"/>
  <c r="S37" i="21"/>
  <c r="H36" i="29" s="1"/>
  <c r="T37" i="21"/>
  <c r="U37" i="21"/>
  <c r="I36" i="31" s="1"/>
  <c r="V37" i="21"/>
  <c r="I36" i="29" s="1"/>
  <c r="W37" i="21"/>
  <c r="X37" i="21"/>
  <c r="J36" i="31" s="1"/>
  <c r="Y37" i="21"/>
  <c r="J36" i="29" s="1"/>
  <c r="Z37" i="21"/>
  <c r="AA37" i="21"/>
  <c r="K36" i="31" s="1"/>
  <c r="AB37" i="21"/>
  <c r="K36" i="29" s="1"/>
  <c r="AC37" i="21"/>
  <c r="AD37" i="21"/>
  <c r="L36" i="31" s="1"/>
  <c r="AE37" i="21"/>
  <c r="L36" i="29" s="1"/>
  <c r="AF37" i="21"/>
  <c r="AG37" i="21"/>
  <c r="M36" i="31" s="1"/>
  <c r="AH37" i="21"/>
  <c r="M36" i="29" s="1"/>
  <c r="AI37" i="21"/>
  <c r="C38" i="21"/>
  <c r="C37" i="31" s="1"/>
  <c r="D38" i="21"/>
  <c r="C37" i="29" s="1"/>
  <c r="E38" i="21"/>
  <c r="F38" i="21"/>
  <c r="D37" i="31" s="1"/>
  <c r="G38" i="21"/>
  <c r="D37" i="29" s="1"/>
  <c r="H38" i="21"/>
  <c r="I38" i="21"/>
  <c r="E37" i="31" s="1"/>
  <c r="J38" i="21"/>
  <c r="E37" i="29" s="1"/>
  <c r="K38" i="21"/>
  <c r="L38" i="21"/>
  <c r="F37" i="31" s="1"/>
  <c r="M38" i="21"/>
  <c r="F37" i="29" s="1"/>
  <c r="N38" i="21"/>
  <c r="O38" i="21"/>
  <c r="G37" i="31" s="1"/>
  <c r="P38" i="21"/>
  <c r="G37" i="29" s="1"/>
  <c r="Q38" i="21"/>
  <c r="R38" i="21"/>
  <c r="H37" i="31" s="1"/>
  <c r="S38" i="21"/>
  <c r="H37" i="29" s="1"/>
  <c r="T38" i="21"/>
  <c r="U38" i="21"/>
  <c r="I37" i="31" s="1"/>
  <c r="V38" i="21"/>
  <c r="I37" i="29" s="1"/>
  <c r="W38" i="21"/>
  <c r="X38" i="21"/>
  <c r="J37" i="31" s="1"/>
  <c r="Y38" i="21"/>
  <c r="J37" i="29" s="1"/>
  <c r="Z38" i="21"/>
  <c r="AA38" i="21"/>
  <c r="K37" i="31" s="1"/>
  <c r="AB38" i="21"/>
  <c r="K37" i="29" s="1"/>
  <c r="AC38" i="21"/>
  <c r="AD38" i="21"/>
  <c r="L37" i="31" s="1"/>
  <c r="AE38" i="21"/>
  <c r="L37" i="29" s="1"/>
  <c r="AF38" i="21"/>
  <c r="AG38" i="21"/>
  <c r="M37" i="31" s="1"/>
  <c r="AH38" i="21"/>
  <c r="M37" i="29" s="1"/>
  <c r="AI38" i="21"/>
  <c r="C39" i="21"/>
  <c r="C38" i="31" s="1"/>
  <c r="D39" i="21"/>
  <c r="C38" i="29" s="1"/>
  <c r="E39" i="21"/>
  <c r="F39" i="21"/>
  <c r="D38" i="31" s="1"/>
  <c r="G39" i="21"/>
  <c r="D38" i="29" s="1"/>
  <c r="H39" i="21"/>
  <c r="I39" i="21"/>
  <c r="E38" i="31" s="1"/>
  <c r="J39" i="21"/>
  <c r="E38" i="29" s="1"/>
  <c r="K39" i="21"/>
  <c r="L39" i="21"/>
  <c r="F38" i="31" s="1"/>
  <c r="M39" i="21"/>
  <c r="F38" i="29" s="1"/>
  <c r="N39" i="21"/>
  <c r="O39" i="21"/>
  <c r="G38" i="31" s="1"/>
  <c r="P39" i="21"/>
  <c r="G38" i="29" s="1"/>
  <c r="Q39" i="21"/>
  <c r="R39" i="21"/>
  <c r="H38" i="31" s="1"/>
  <c r="S39" i="21"/>
  <c r="H38" i="29" s="1"/>
  <c r="T39" i="21"/>
  <c r="U39" i="21"/>
  <c r="I38" i="31" s="1"/>
  <c r="V39" i="21"/>
  <c r="I38" i="29" s="1"/>
  <c r="W39" i="21"/>
  <c r="X39" i="21"/>
  <c r="J38" i="31" s="1"/>
  <c r="Y39" i="21"/>
  <c r="J38" i="29" s="1"/>
  <c r="Z39" i="21"/>
  <c r="AA39" i="21"/>
  <c r="K38" i="31" s="1"/>
  <c r="AB39" i="21"/>
  <c r="K38" i="29" s="1"/>
  <c r="AC39" i="21"/>
  <c r="AD39" i="21"/>
  <c r="L38" i="31" s="1"/>
  <c r="AE39" i="21"/>
  <c r="L38" i="29" s="1"/>
  <c r="AF39" i="21"/>
  <c r="AG39" i="21"/>
  <c r="M38" i="31" s="1"/>
  <c r="AH39" i="21"/>
  <c r="M38" i="29" s="1"/>
  <c r="AI39" i="21"/>
  <c r="C40" i="21"/>
  <c r="C39" i="31" s="1"/>
  <c r="D40" i="21"/>
  <c r="C39" i="29" s="1"/>
  <c r="E40" i="21"/>
  <c r="F40" i="21"/>
  <c r="D39" i="31" s="1"/>
  <c r="G40" i="21"/>
  <c r="D39" i="29" s="1"/>
  <c r="H40" i="21"/>
  <c r="I40" i="21"/>
  <c r="E39" i="31" s="1"/>
  <c r="J40" i="21"/>
  <c r="E39" i="29" s="1"/>
  <c r="K40" i="21"/>
  <c r="L40" i="21"/>
  <c r="F39" i="31" s="1"/>
  <c r="M40" i="21"/>
  <c r="F39" i="29" s="1"/>
  <c r="N40" i="21"/>
  <c r="O40" i="21"/>
  <c r="G39" i="31" s="1"/>
  <c r="P40" i="21"/>
  <c r="G39" i="29" s="1"/>
  <c r="Q40" i="21"/>
  <c r="R40" i="21"/>
  <c r="H39" i="31" s="1"/>
  <c r="S40" i="21"/>
  <c r="H39" i="29" s="1"/>
  <c r="T40" i="21"/>
  <c r="U40" i="21"/>
  <c r="I39" i="31" s="1"/>
  <c r="V40" i="21"/>
  <c r="I39" i="29" s="1"/>
  <c r="W40" i="21"/>
  <c r="X40" i="21"/>
  <c r="J39" i="31" s="1"/>
  <c r="Y40" i="21"/>
  <c r="J39" i="29" s="1"/>
  <c r="Z40" i="21"/>
  <c r="AA40" i="21"/>
  <c r="K39" i="31" s="1"/>
  <c r="AB40" i="21"/>
  <c r="K39" i="29" s="1"/>
  <c r="AC40" i="21"/>
  <c r="AD40" i="21"/>
  <c r="L39" i="31" s="1"/>
  <c r="AE40" i="21"/>
  <c r="L39" i="29" s="1"/>
  <c r="AF40" i="21"/>
  <c r="AG40" i="21"/>
  <c r="M39" i="31" s="1"/>
  <c r="AH40" i="21"/>
  <c r="M39" i="29" s="1"/>
  <c r="AI40" i="21"/>
  <c r="C41" i="21"/>
  <c r="C40" i="31" s="1"/>
  <c r="D41" i="21"/>
  <c r="C40" i="29" s="1"/>
  <c r="E41" i="21"/>
  <c r="F41" i="21"/>
  <c r="D40" i="31" s="1"/>
  <c r="G41" i="21"/>
  <c r="D40" i="29" s="1"/>
  <c r="H41" i="21"/>
  <c r="I41" i="21"/>
  <c r="E40" i="31" s="1"/>
  <c r="J41" i="21"/>
  <c r="E40" i="29" s="1"/>
  <c r="K41" i="21"/>
  <c r="L41" i="21"/>
  <c r="F40" i="31" s="1"/>
  <c r="M41" i="21"/>
  <c r="F40" i="29" s="1"/>
  <c r="N41" i="21"/>
  <c r="O41" i="21"/>
  <c r="G40" i="31" s="1"/>
  <c r="P41" i="21"/>
  <c r="G40" i="29" s="1"/>
  <c r="Q41" i="21"/>
  <c r="R41" i="21"/>
  <c r="H40" i="31" s="1"/>
  <c r="S41" i="21"/>
  <c r="H40" i="29" s="1"/>
  <c r="T41" i="21"/>
  <c r="U41" i="21"/>
  <c r="I40" i="31" s="1"/>
  <c r="V41" i="21"/>
  <c r="I40" i="29" s="1"/>
  <c r="W41" i="21"/>
  <c r="X41" i="21"/>
  <c r="J40" i="31" s="1"/>
  <c r="Y41" i="21"/>
  <c r="J40" i="29" s="1"/>
  <c r="Z41" i="21"/>
  <c r="AA41" i="21"/>
  <c r="K40" i="31" s="1"/>
  <c r="AB41" i="21"/>
  <c r="K40" i="29" s="1"/>
  <c r="AC41" i="21"/>
  <c r="AD41" i="21"/>
  <c r="L40" i="31" s="1"/>
  <c r="AE41" i="21"/>
  <c r="L40" i="29" s="1"/>
  <c r="AF41" i="21"/>
  <c r="AG41" i="21"/>
  <c r="M40" i="31" s="1"/>
  <c r="AH41" i="21"/>
  <c r="M40" i="29" s="1"/>
  <c r="AI41" i="21"/>
  <c r="C42" i="21"/>
  <c r="C41" i="31" s="1"/>
  <c r="D42" i="21"/>
  <c r="C41" i="29" s="1"/>
  <c r="E42" i="21"/>
  <c r="F42" i="21"/>
  <c r="D41" i="31" s="1"/>
  <c r="G42" i="21"/>
  <c r="D41" i="29" s="1"/>
  <c r="H42" i="21"/>
  <c r="I42" i="21"/>
  <c r="E41" i="31" s="1"/>
  <c r="J42" i="21"/>
  <c r="E41" i="29" s="1"/>
  <c r="K42" i="21"/>
  <c r="L42" i="21"/>
  <c r="F41" i="31" s="1"/>
  <c r="M42" i="21"/>
  <c r="F41" i="29" s="1"/>
  <c r="N42" i="21"/>
  <c r="O42" i="21"/>
  <c r="G41" i="31" s="1"/>
  <c r="P42" i="21"/>
  <c r="G41" i="29" s="1"/>
  <c r="Q42" i="21"/>
  <c r="R42" i="21"/>
  <c r="H41" i="31" s="1"/>
  <c r="S42" i="21"/>
  <c r="H41" i="29" s="1"/>
  <c r="T42" i="21"/>
  <c r="U42" i="21"/>
  <c r="I41" i="31" s="1"/>
  <c r="V42" i="21"/>
  <c r="I41" i="29" s="1"/>
  <c r="W42" i="21"/>
  <c r="X42" i="21"/>
  <c r="J41" i="31" s="1"/>
  <c r="Y42" i="21"/>
  <c r="J41" i="29" s="1"/>
  <c r="Z42" i="21"/>
  <c r="AA42" i="21"/>
  <c r="K41" i="31" s="1"/>
  <c r="AB42" i="21"/>
  <c r="K41" i="29" s="1"/>
  <c r="AC42" i="21"/>
  <c r="AD42" i="21"/>
  <c r="L41" i="31" s="1"/>
  <c r="AE42" i="21"/>
  <c r="L41" i="29" s="1"/>
  <c r="AF42" i="21"/>
  <c r="AG42" i="21"/>
  <c r="M41" i="31" s="1"/>
  <c r="AH42" i="21"/>
  <c r="M41" i="29" s="1"/>
  <c r="AI42" i="21"/>
  <c r="C43" i="21"/>
  <c r="C42" i="31" s="1"/>
  <c r="D43" i="21"/>
  <c r="E43" i="21"/>
  <c r="F43" i="21"/>
  <c r="D42" i="31" s="1"/>
  <c r="G43" i="21"/>
  <c r="D42" i="29" s="1"/>
  <c r="H43" i="21"/>
  <c r="I43" i="21"/>
  <c r="E42" i="31" s="1"/>
  <c r="J43" i="21"/>
  <c r="E42" i="29" s="1"/>
  <c r="K43" i="21"/>
  <c r="L43" i="21"/>
  <c r="M43" i="21"/>
  <c r="F42" i="29" s="1"/>
  <c r="N43" i="21"/>
  <c r="O43" i="21"/>
  <c r="G42" i="31" s="1"/>
  <c r="P43" i="21"/>
  <c r="G42" i="29" s="1"/>
  <c r="Q43" i="21"/>
  <c r="R43" i="21"/>
  <c r="H42" i="31" s="1"/>
  <c r="S43" i="21"/>
  <c r="H42" i="29" s="1"/>
  <c r="T43" i="21"/>
  <c r="U43" i="21"/>
  <c r="I42" i="31" s="1"/>
  <c r="V43" i="21"/>
  <c r="I42" i="29" s="1"/>
  <c r="W43" i="21"/>
  <c r="X43" i="21"/>
  <c r="Y43" i="21"/>
  <c r="J42" i="29" s="1"/>
  <c r="Z43" i="21"/>
  <c r="AA43" i="21"/>
  <c r="K42" i="31" s="1"/>
  <c r="AB43" i="21"/>
  <c r="AC43" i="21"/>
  <c r="AD43" i="21"/>
  <c r="L42" i="31" s="1"/>
  <c r="AE43" i="21"/>
  <c r="L42" i="29" s="1"/>
  <c r="AF43" i="21"/>
  <c r="AG43" i="21"/>
  <c r="M42" i="31" s="1"/>
  <c r="AH43" i="21"/>
  <c r="AI43" i="21"/>
  <c r="C44" i="21"/>
  <c r="C43" i="31" s="1"/>
  <c r="D44" i="21"/>
  <c r="C43" i="29" s="1"/>
  <c r="E44" i="21"/>
  <c r="F44" i="21"/>
  <c r="D43" i="31" s="1"/>
  <c r="G44" i="21"/>
  <c r="D43" i="29" s="1"/>
  <c r="H44" i="21"/>
  <c r="I44" i="21"/>
  <c r="J44" i="21"/>
  <c r="E43" i="29" s="1"/>
  <c r="K44" i="21"/>
  <c r="L44" i="21"/>
  <c r="F43" i="31" s="1"/>
  <c r="M44" i="21"/>
  <c r="F43" i="29" s="1"/>
  <c r="N44" i="21"/>
  <c r="O44" i="21"/>
  <c r="G43" i="31" s="1"/>
  <c r="P44" i="21"/>
  <c r="Q44" i="21"/>
  <c r="R44" i="21"/>
  <c r="S44" i="21"/>
  <c r="H43" i="29" s="1"/>
  <c r="T44" i="21"/>
  <c r="U44" i="21"/>
  <c r="I43" i="31" s="1"/>
  <c r="V44" i="21"/>
  <c r="I43" i="29" s="1"/>
  <c r="W44" i="21"/>
  <c r="X44" i="21"/>
  <c r="Y44" i="21"/>
  <c r="J43" i="29" s="1"/>
  <c r="Z44" i="21"/>
  <c r="AA44" i="21"/>
  <c r="AB44" i="21"/>
  <c r="K43" i="29" s="1"/>
  <c r="AC44" i="21"/>
  <c r="AD44" i="21"/>
  <c r="L43" i="31" s="1"/>
  <c r="AE44" i="21"/>
  <c r="AF44" i="21"/>
  <c r="AG44" i="21"/>
  <c r="M43" i="31" s="1"/>
  <c r="AH44" i="21"/>
  <c r="M43" i="29" s="1"/>
  <c r="AI44" i="21"/>
  <c r="C45" i="21"/>
  <c r="C44" i="31" s="1"/>
  <c r="D45" i="21"/>
  <c r="C44" i="29" s="1"/>
  <c r="E45" i="21"/>
  <c r="F45" i="21"/>
  <c r="D44" i="31" s="1"/>
  <c r="G45" i="21"/>
  <c r="D44" i="29" s="1"/>
  <c r="H45" i="21"/>
  <c r="I45" i="21"/>
  <c r="J45" i="21"/>
  <c r="K45" i="21"/>
  <c r="L45" i="21"/>
  <c r="F44" i="31" s="1"/>
  <c r="M45" i="21"/>
  <c r="F44" i="29" s="1"/>
  <c r="N45" i="21"/>
  <c r="O45" i="21"/>
  <c r="G44" i="31" s="1"/>
  <c r="P45" i="21"/>
  <c r="Q45" i="21"/>
  <c r="R45" i="21"/>
  <c r="H44" i="31" s="1"/>
  <c r="S45" i="21"/>
  <c r="H44" i="29" s="1"/>
  <c r="T45" i="21"/>
  <c r="U45" i="21"/>
  <c r="I44" i="31" s="1"/>
  <c r="V45" i="21"/>
  <c r="I44" i="29" s="1"/>
  <c r="W45" i="21"/>
  <c r="X45" i="21"/>
  <c r="J44" i="31" s="1"/>
  <c r="Y45" i="21"/>
  <c r="J44" i="29" s="1"/>
  <c r="Z45" i="21"/>
  <c r="AA45" i="21"/>
  <c r="K44" i="31" s="1"/>
  <c r="AB45" i="21"/>
  <c r="K44" i="29" s="1"/>
  <c r="AC45" i="21"/>
  <c r="AD45" i="21"/>
  <c r="L44" i="31" s="1"/>
  <c r="AE45" i="21"/>
  <c r="L44" i="29" s="1"/>
  <c r="AF45" i="21"/>
  <c r="AG45" i="21"/>
  <c r="M44" i="31" s="1"/>
  <c r="AH45" i="21"/>
  <c r="AI45" i="21"/>
  <c r="A6" i="21"/>
  <c r="A7" i="21"/>
  <c r="A8" i="21"/>
  <c r="A9" i="21"/>
  <c r="A10" i="21"/>
  <c r="A11" i="21"/>
  <c r="A12" i="21"/>
  <c r="A13" i="21"/>
  <c r="A14" i="21"/>
  <c r="A15" i="21"/>
  <c r="A16" i="21"/>
  <c r="A17" i="21"/>
  <c r="A18" i="21"/>
  <c r="A19" i="21"/>
  <c r="A20" i="21"/>
  <c r="A21" i="21"/>
  <c r="A22" i="21"/>
  <c r="A23" i="21"/>
  <c r="A24" i="21"/>
  <c r="A25" i="21"/>
  <c r="A26" i="21"/>
  <c r="A27" i="21"/>
  <c r="A28" i="21"/>
  <c r="A29" i="21"/>
  <c r="A30" i="21"/>
  <c r="A31" i="21"/>
  <c r="A32" i="21"/>
  <c r="A33" i="21"/>
  <c r="A34" i="21"/>
  <c r="A35" i="21"/>
  <c r="A36" i="21"/>
  <c r="A37" i="21"/>
  <c r="A38" i="21"/>
  <c r="A39" i="21"/>
  <c r="A40" i="21"/>
  <c r="A41" i="21"/>
  <c r="A42" i="21"/>
  <c r="A43" i="21"/>
  <c r="A44" i="21"/>
  <c r="A45" i="21"/>
  <c r="A5" i="21"/>
  <c r="C45" i="20"/>
  <c r="C46" i="20"/>
  <c r="C47" i="20"/>
  <c r="C48" i="20"/>
  <c r="C49" i="20"/>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C43" i="20"/>
  <c r="C44" i="20"/>
  <c r="B45" i="20"/>
  <c r="B46" i="20"/>
  <c r="B47" i="20"/>
  <c r="B48" i="20"/>
  <c r="B49" i="20"/>
  <c r="B6" i="20"/>
  <c r="B7" i="20"/>
  <c r="B8" i="20"/>
  <c r="B9" i="20"/>
  <c r="B10" i="20"/>
  <c r="B11" i="20"/>
  <c r="B12" i="20"/>
  <c r="B13" i="20"/>
  <c r="B14" i="20"/>
  <c r="B15" i="20"/>
  <c r="B16"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F47" i="2"/>
  <c r="F48" i="2"/>
  <c r="F49" i="2"/>
  <c r="F50" i="2"/>
  <c r="F7" i="2"/>
  <c r="C4" i="22" s="1"/>
  <c r="F8" i="2"/>
  <c r="C5" i="22" s="1"/>
  <c r="F9" i="2"/>
  <c r="C6" i="22" s="1"/>
  <c r="F10" i="2"/>
  <c r="C7" i="22" s="1"/>
  <c r="F11" i="2"/>
  <c r="F9" i="26" s="1"/>
  <c r="F12" i="2"/>
  <c r="F10" i="26" s="1"/>
  <c r="F13" i="2"/>
  <c r="F11" i="26" s="1"/>
  <c r="F14" i="2"/>
  <c r="F12" i="26" s="1"/>
  <c r="F15" i="2"/>
  <c r="F13" i="26" s="1"/>
  <c r="F16" i="2"/>
  <c r="F14" i="26" s="1"/>
  <c r="F17" i="2"/>
  <c r="F15" i="26" s="1"/>
  <c r="F18" i="2"/>
  <c r="F16" i="26" s="1"/>
  <c r="F19" i="2"/>
  <c r="F20" i="2"/>
  <c r="F21" i="2"/>
  <c r="F22" i="2"/>
  <c r="F23" i="2"/>
  <c r="F24" i="2"/>
  <c r="F25" i="2"/>
  <c r="F26" i="2"/>
  <c r="F27" i="2"/>
  <c r="F28" i="2"/>
  <c r="F26" i="26" s="1"/>
  <c r="F29" i="2"/>
  <c r="F27" i="26" s="1"/>
  <c r="F30" i="2"/>
  <c r="F28" i="26" s="1"/>
  <c r="F31" i="2"/>
  <c r="F29" i="26" s="1"/>
  <c r="F32" i="2"/>
  <c r="F30" i="26" s="1"/>
  <c r="F33" i="2"/>
  <c r="F34" i="2"/>
  <c r="F35" i="2"/>
  <c r="F36" i="2"/>
  <c r="F37" i="2"/>
  <c r="F38" i="2"/>
  <c r="F39" i="2"/>
  <c r="F40" i="2"/>
  <c r="F41" i="2"/>
  <c r="F39" i="26" s="1"/>
  <c r="F42" i="2"/>
  <c r="F40" i="26" s="1"/>
  <c r="F43" i="2"/>
  <c r="F41" i="26" s="1"/>
  <c r="F44" i="2"/>
  <c r="F42" i="26" s="1"/>
  <c r="F45" i="2"/>
  <c r="F43" i="26" s="1"/>
  <c r="F46" i="2"/>
  <c r="F46" i="15"/>
  <c r="F47" i="15"/>
  <c r="F48" i="15"/>
  <c r="F49" i="15"/>
  <c r="F50"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B46" i="15"/>
  <c r="B47" i="15"/>
  <c r="B48" i="15"/>
  <c r="B49" i="15"/>
  <c r="B50"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A46" i="15"/>
  <c r="A47" i="15"/>
  <c r="A48" i="15"/>
  <c r="A49" i="15"/>
  <c r="A50" i="15"/>
  <c r="A7" i="15"/>
  <c r="A8" i="15"/>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35" i="15"/>
  <c r="A36" i="15"/>
  <c r="A37" i="15"/>
  <c r="A38" i="15"/>
  <c r="A39" i="15"/>
  <c r="A40" i="15"/>
  <c r="A41" i="15"/>
  <c r="A42" i="15"/>
  <c r="A43" i="15"/>
  <c r="A44" i="15"/>
  <c r="A45" i="15"/>
  <c r="A6" i="14"/>
  <c r="B6" i="14"/>
  <c r="F46" i="14"/>
  <c r="F47" i="14"/>
  <c r="F48" i="14"/>
  <c r="F49" i="14"/>
  <c r="F50" i="14"/>
  <c r="F7" i="14"/>
  <c r="F8" i="14"/>
  <c r="F9" i="14"/>
  <c r="F10" i="14"/>
  <c r="F11" i="14"/>
  <c r="F12" i="14"/>
  <c r="F13" i="14"/>
  <c r="F14" i="14"/>
  <c r="AP12" i="26" s="1"/>
  <c r="F15" i="14"/>
  <c r="AP13" i="26" s="1"/>
  <c r="F16" i="14"/>
  <c r="AP14" i="26" s="1"/>
  <c r="F17" i="14"/>
  <c r="AP15" i="26" s="1"/>
  <c r="F18" i="14"/>
  <c r="F19" i="14"/>
  <c r="F20" i="14"/>
  <c r="F21" i="14"/>
  <c r="F22" i="14"/>
  <c r="F23" i="14"/>
  <c r="F24" i="14"/>
  <c r="F25" i="14"/>
  <c r="F26" i="14"/>
  <c r="F27" i="14"/>
  <c r="F28" i="14"/>
  <c r="F29" i="14"/>
  <c r="F30" i="14"/>
  <c r="F31" i="14"/>
  <c r="AP29" i="26" s="1"/>
  <c r="F32" i="14"/>
  <c r="F33" i="14"/>
  <c r="F34" i="14"/>
  <c r="F35" i="14"/>
  <c r="F36" i="14"/>
  <c r="F37" i="14"/>
  <c r="F38" i="14"/>
  <c r="F39" i="14"/>
  <c r="F40" i="14"/>
  <c r="F41" i="14"/>
  <c r="F42" i="14"/>
  <c r="F43" i="14"/>
  <c r="AP41" i="26" s="1"/>
  <c r="F44" i="14"/>
  <c r="AP42" i="26" s="1"/>
  <c r="F45" i="14"/>
  <c r="AP43" i="26" s="1"/>
  <c r="B46" i="14"/>
  <c r="B47" i="14"/>
  <c r="B48" i="14"/>
  <c r="B49" i="14"/>
  <c r="B50" i="14"/>
  <c r="B7" i="14"/>
  <c r="B8" i="14"/>
  <c r="B9" i="14"/>
  <c r="B10" i="14"/>
  <c r="B11" i="14"/>
  <c r="B12" i="14"/>
  <c r="B13" i="14"/>
  <c r="B14" i="14"/>
  <c r="B15" i="14"/>
  <c r="B16" i="14"/>
  <c r="B17" i="14"/>
  <c r="B18" i="14"/>
  <c r="B19" i="14"/>
  <c r="B20" i="14"/>
  <c r="B21" i="14"/>
  <c r="B22" i="14"/>
  <c r="B23" i="14"/>
  <c r="B24" i="14"/>
  <c r="B25" i="14"/>
  <c r="B26" i="14"/>
  <c r="B27" i="14"/>
  <c r="B28" i="14"/>
  <c r="B29" i="14"/>
  <c r="B30" i="14"/>
  <c r="B31" i="14"/>
  <c r="B32" i="14"/>
  <c r="B33" i="14"/>
  <c r="B34" i="14"/>
  <c r="B35" i="14"/>
  <c r="B36" i="14"/>
  <c r="B37" i="14"/>
  <c r="B38" i="14"/>
  <c r="B39" i="14"/>
  <c r="B40" i="14"/>
  <c r="B41" i="14"/>
  <c r="B42" i="14"/>
  <c r="B43" i="14"/>
  <c r="B44" i="14"/>
  <c r="B45" i="14"/>
  <c r="A46" i="14"/>
  <c r="A47" i="14"/>
  <c r="A48" i="14"/>
  <c r="A49" i="14"/>
  <c r="A50" i="14"/>
  <c r="A7" i="14"/>
  <c r="A8" i="14"/>
  <c r="A9" i="14"/>
  <c r="A10" i="14"/>
  <c r="A11" i="14"/>
  <c r="A12" i="14"/>
  <c r="A13" i="14"/>
  <c r="A14" i="14"/>
  <c r="A15" i="14"/>
  <c r="A16" i="14"/>
  <c r="A17" i="14"/>
  <c r="A18" i="14"/>
  <c r="A19" i="14"/>
  <c r="A20" i="14"/>
  <c r="A21" i="14"/>
  <c r="A22" i="14"/>
  <c r="A23" i="14"/>
  <c r="A24" i="14"/>
  <c r="A25" i="14"/>
  <c r="A26" i="14"/>
  <c r="A27" i="14"/>
  <c r="A28" i="14"/>
  <c r="A29" i="14"/>
  <c r="A30" i="14"/>
  <c r="A31" i="14"/>
  <c r="A32" i="14"/>
  <c r="A33" i="14"/>
  <c r="A34" i="14"/>
  <c r="A35" i="14"/>
  <c r="A36" i="14"/>
  <c r="A37" i="14"/>
  <c r="A38" i="14"/>
  <c r="A39" i="14"/>
  <c r="A40" i="14"/>
  <c r="A41" i="14"/>
  <c r="A42" i="14"/>
  <c r="A43" i="14"/>
  <c r="A44" i="14"/>
  <c r="A45" i="14"/>
  <c r="F7" i="12"/>
  <c r="F8" i="12"/>
  <c r="F9" i="12"/>
  <c r="F10" i="12"/>
  <c r="F11" i="12"/>
  <c r="F12" i="12"/>
  <c r="F13" i="12"/>
  <c r="F14" i="12"/>
  <c r="F15" i="12"/>
  <c r="AL13" i="26" s="1"/>
  <c r="F16" i="12"/>
  <c r="AL14" i="26" s="1"/>
  <c r="F17" i="12"/>
  <c r="AL15" i="26" s="1"/>
  <c r="F18" i="12"/>
  <c r="F19" i="12"/>
  <c r="F20" i="12"/>
  <c r="F21" i="12"/>
  <c r="F22" i="12"/>
  <c r="F23" i="12"/>
  <c r="F24" i="12"/>
  <c r="F25" i="12"/>
  <c r="F26" i="12"/>
  <c r="F27" i="12"/>
  <c r="F28" i="12"/>
  <c r="F29" i="12"/>
  <c r="F30" i="12"/>
  <c r="F31" i="12"/>
  <c r="AL29" i="26" s="1"/>
  <c r="F32" i="12"/>
  <c r="F33" i="12"/>
  <c r="F34" i="12"/>
  <c r="F35" i="12"/>
  <c r="F36" i="12"/>
  <c r="F37" i="12"/>
  <c r="F38" i="12"/>
  <c r="F39" i="12"/>
  <c r="F40" i="12"/>
  <c r="F41" i="12"/>
  <c r="F42" i="12"/>
  <c r="F43" i="12"/>
  <c r="B47" i="12"/>
  <c r="B48" i="12"/>
  <c r="B49" i="12"/>
  <c r="B50"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6" i="12"/>
  <c r="A6" i="12"/>
  <c r="A47" i="12"/>
  <c r="A48" i="12"/>
  <c r="A49" i="12"/>
  <c r="A50" i="12"/>
  <c r="A38" i="12"/>
  <c r="A39" i="12"/>
  <c r="A40" i="12"/>
  <c r="A41" i="12"/>
  <c r="A42" i="12"/>
  <c r="A43" i="12"/>
  <c r="A44" i="12"/>
  <c r="A45" i="12"/>
  <c r="A46" i="12"/>
  <c r="F46" i="11"/>
  <c r="F47" i="11"/>
  <c r="F48" i="11"/>
  <c r="F49" i="11"/>
  <c r="F50" i="11"/>
  <c r="F7" i="11"/>
  <c r="F8" i="11"/>
  <c r="F9" i="11"/>
  <c r="F10" i="11"/>
  <c r="F11" i="11"/>
  <c r="F12" i="11"/>
  <c r="F13" i="11"/>
  <c r="F14" i="11"/>
  <c r="F15" i="11"/>
  <c r="F16" i="11"/>
  <c r="AH14" i="26" s="1"/>
  <c r="F17" i="11"/>
  <c r="AH15" i="26" s="1"/>
  <c r="F18" i="11"/>
  <c r="F19" i="11"/>
  <c r="F20" i="11"/>
  <c r="F21" i="11"/>
  <c r="F22" i="11"/>
  <c r="F23" i="11"/>
  <c r="F24" i="11"/>
  <c r="F25" i="11"/>
  <c r="F26" i="11"/>
  <c r="F27" i="11"/>
  <c r="F28" i="11"/>
  <c r="F29" i="11"/>
  <c r="F30" i="11"/>
  <c r="F31" i="11"/>
  <c r="F32" i="11"/>
  <c r="AH30" i="26" s="1"/>
  <c r="F33" i="11"/>
  <c r="F34" i="11"/>
  <c r="F35" i="11"/>
  <c r="F36" i="11"/>
  <c r="F37" i="11"/>
  <c r="F38" i="11"/>
  <c r="F39" i="11"/>
  <c r="F40" i="11"/>
  <c r="F41" i="11"/>
  <c r="F42" i="11"/>
  <c r="F43" i="11"/>
  <c r="F44" i="11"/>
  <c r="AH42" i="26" s="1"/>
  <c r="F45" i="11"/>
  <c r="AH43" i="26" s="1"/>
  <c r="B46" i="11"/>
  <c r="B47" i="11"/>
  <c r="B48" i="11"/>
  <c r="B49" i="11"/>
  <c r="B50"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A46" i="11"/>
  <c r="A47" i="11"/>
  <c r="A48" i="11"/>
  <c r="A49" i="11"/>
  <c r="A50" i="11"/>
  <c r="A13" i="11"/>
  <c r="A14" i="11"/>
  <c r="A15" i="11"/>
  <c r="A16" i="11"/>
  <c r="A17" i="11"/>
  <c r="A18" i="11"/>
  <c r="A19" i="11"/>
  <c r="A20" i="11"/>
  <c r="A21" i="11"/>
  <c r="A22" i="11"/>
  <c r="A23" i="11"/>
  <c r="A24" i="11"/>
  <c r="A25" i="11"/>
  <c r="A26" i="11"/>
  <c r="A27" i="11"/>
  <c r="A28" i="11"/>
  <c r="A29" i="11"/>
  <c r="A30" i="11"/>
  <c r="A31" i="11"/>
  <c r="A32" i="11"/>
  <c r="A33" i="11"/>
  <c r="A34" i="11"/>
  <c r="A35" i="11"/>
  <c r="A36" i="11"/>
  <c r="A37" i="11"/>
  <c r="A38" i="11"/>
  <c r="A39" i="11"/>
  <c r="A40" i="11"/>
  <c r="A41" i="11"/>
  <c r="A42" i="11"/>
  <c r="A43" i="11"/>
  <c r="A44" i="11"/>
  <c r="A45" i="11"/>
  <c r="F48" i="10"/>
  <c r="F49" i="10"/>
  <c r="F50" i="10"/>
  <c r="F41" i="10"/>
  <c r="F42" i="10"/>
  <c r="F43" i="10"/>
  <c r="F44" i="10"/>
  <c r="F45" i="10"/>
  <c r="AD43" i="26" s="1"/>
  <c r="F46" i="10"/>
  <c r="F47" i="10"/>
  <c r="B48" i="10"/>
  <c r="B49" i="10"/>
  <c r="B50" i="10"/>
  <c r="B46" i="10"/>
  <c r="B47"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A48" i="10"/>
  <c r="A49" i="10"/>
  <c r="A50"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F50" i="8"/>
  <c r="F11" i="4"/>
  <c r="F12" i="4"/>
  <c r="F13" i="4"/>
  <c r="F14" i="4"/>
  <c r="F15" i="4"/>
  <c r="F16" i="4"/>
  <c r="F17" i="4"/>
  <c r="N15" i="26" s="1"/>
  <c r="F18" i="4"/>
  <c r="N16" i="26" s="1"/>
  <c r="F19" i="4"/>
  <c r="F20" i="4"/>
  <c r="F21" i="4"/>
  <c r="F22" i="4"/>
  <c r="F23" i="4"/>
  <c r="F24" i="4"/>
  <c r="F25" i="4"/>
  <c r="F26" i="4"/>
  <c r="F27" i="4"/>
  <c r="F28" i="4"/>
  <c r="F29" i="4"/>
  <c r="F30" i="4"/>
  <c r="F31" i="4"/>
  <c r="F32" i="4"/>
  <c r="F33" i="4"/>
  <c r="F34" i="4"/>
  <c r="F35" i="4"/>
  <c r="F36" i="4"/>
  <c r="F37" i="4"/>
  <c r="F38" i="4"/>
  <c r="F39" i="4"/>
  <c r="F40" i="4"/>
  <c r="F41" i="4"/>
  <c r="F42" i="4"/>
  <c r="F43" i="4"/>
  <c r="F44" i="4"/>
  <c r="F45" i="4"/>
  <c r="F12" i="8"/>
  <c r="F13" i="8"/>
  <c r="F14" i="8"/>
  <c r="F15" i="8"/>
  <c r="F16" i="8"/>
  <c r="F17" i="8"/>
  <c r="Z15" i="26" s="1"/>
  <c r="F18" i="8"/>
  <c r="F19" i="8"/>
  <c r="F20" i="8"/>
  <c r="F21" i="8"/>
  <c r="F22" i="8"/>
  <c r="F23" i="8"/>
  <c r="F24" i="8"/>
  <c r="F25" i="8"/>
  <c r="F26" i="8"/>
  <c r="F27" i="8"/>
  <c r="F28" i="8"/>
  <c r="F29" i="8"/>
  <c r="F30" i="8"/>
  <c r="F31" i="8"/>
  <c r="F32" i="8"/>
  <c r="F33" i="8"/>
  <c r="F34" i="8"/>
  <c r="F35" i="8"/>
  <c r="F36" i="8"/>
  <c r="F37" i="8"/>
  <c r="F38" i="8"/>
  <c r="F39" i="8"/>
  <c r="F40" i="8"/>
  <c r="F41" i="8"/>
  <c r="F42" i="8"/>
  <c r="F43" i="8"/>
  <c r="F44" i="8"/>
  <c r="B47" i="8"/>
  <c r="B48" i="8"/>
  <c r="B49" i="8"/>
  <c r="B50"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6" i="8"/>
  <c r="A6" i="8"/>
  <c r="A47" i="8"/>
  <c r="A48" i="8"/>
  <c r="A49" i="8"/>
  <c r="A50" i="8"/>
  <c r="F46" i="7"/>
  <c r="F47" i="7"/>
  <c r="F48" i="7"/>
  <c r="F49" i="7"/>
  <c r="F50" i="7"/>
  <c r="F11" i="7"/>
  <c r="F12" i="7"/>
  <c r="F13" i="7"/>
  <c r="F14" i="7"/>
  <c r="F15" i="7"/>
  <c r="F16" i="7"/>
  <c r="F17" i="7"/>
  <c r="V15" i="26" s="1"/>
  <c r="F18" i="7"/>
  <c r="F19" i="7"/>
  <c r="F20" i="7"/>
  <c r="F21" i="7"/>
  <c r="F22" i="7"/>
  <c r="F23" i="7"/>
  <c r="F24" i="7"/>
  <c r="F25" i="7"/>
  <c r="G22" i="22" s="1"/>
  <c r="F26" i="7"/>
  <c r="F27" i="7"/>
  <c r="F28" i="7"/>
  <c r="F29" i="7"/>
  <c r="F30" i="7"/>
  <c r="F31" i="7"/>
  <c r="G28" i="22" s="1"/>
  <c r="F32" i="7"/>
  <c r="F33" i="7"/>
  <c r="F34" i="7"/>
  <c r="F35" i="7"/>
  <c r="F36" i="7"/>
  <c r="F37" i="7"/>
  <c r="F38" i="7"/>
  <c r="F39" i="7"/>
  <c r="F40" i="7"/>
  <c r="F41" i="7"/>
  <c r="F42" i="7"/>
  <c r="F43" i="7"/>
  <c r="F44" i="7"/>
  <c r="F45" i="7"/>
  <c r="B49" i="7"/>
  <c r="B50" i="7"/>
  <c r="B47" i="7"/>
  <c r="B48" i="7"/>
  <c r="A49" i="7"/>
  <c r="A50" i="7"/>
  <c r="F46" i="6"/>
  <c r="F47" i="6"/>
  <c r="F48" i="6"/>
  <c r="F49" i="6"/>
  <c r="F50" i="6"/>
  <c r="F7" i="6"/>
  <c r="F8" i="6"/>
  <c r="F9" i="6"/>
  <c r="F10" i="6"/>
  <c r="F11" i="6"/>
  <c r="F8" i="22" s="1"/>
  <c r="F12" i="6"/>
  <c r="F13" i="6"/>
  <c r="F14" i="6"/>
  <c r="F15" i="6"/>
  <c r="F16" i="6"/>
  <c r="F17" i="6"/>
  <c r="F18" i="6"/>
  <c r="R16" i="26" s="1"/>
  <c r="F19" i="6"/>
  <c r="F20" i="6"/>
  <c r="F21" i="6"/>
  <c r="F22" i="6"/>
  <c r="F23" i="6"/>
  <c r="F24" i="6"/>
  <c r="F25" i="6"/>
  <c r="F26" i="6"/>
  <c r="F27" i="6"/>
  <c r="F28" i="6"/>
  <c r="F29" i="6"/>
  <c r="F30" i="6"/>
  <c r="F31" i="6"/>
  <c r="F32" i="6"/>
  <c r="F33" i="6"/>
  <c r="F34" i="6"/>
  <c r="F35" i="6"/>
  <c r="F36" i="6"/>
  <c r="F37" i="6"/>
  <c r="F38" i="6"/>
  <c r="F39" i="6"/>
  <c r="F40" i="6"/>
  <c r="F41" i="6"/>
  <c r="F42" i="6"/>
  <c r="F43" i="6"/>
  <c r="F44" i="6"/>
  <c r="F45" i="6"/>
  <c r="B46" i="6"/>
  <c r="B47" i="6"/>
  <c r="B48" i="6"/>
  <c r="B49" i="6"/>
  <c r="B50"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A46" i="6"/>
  <c r="A47" i="6"/>
  <c r="A48" i="6"/>
  <c r="A49" i="6"/>
  <c r="A50"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F10" i="4"/>
  <c r="B47" i="4"/>
  <c r="B48" i="4"/>
  <c r="B49" i="4"/>
  <c r="B50"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A47" i="4"/>
  <c r="A48" i="4"/>
  <c r="A49" i="4"/>
  <c r="A50"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F7" i="3"/>
  <c r="J5" i="26" s="1"/>
  <c r="F8" i="3"/>
  <c r="D5" i="22" s="1"/>
  <c r="F9" i="3"/>
  <c r="J7" i="26" s="1"/>
  <c r="F10" i="3"/>
  <c r="D7" i="22" s="1"/>
  <c r="F11" i="3"/>
  <c r="D8" i="22" s="1"/>
  <c r="F12" i="3"/>
  <c r="D9" i="22" s="1"/>
  <c r="F13" i="3"/>
  <c r="D10" i="22" s="1"/>
  <c r="F14" i="3"/>
  <c r="D11" i="22" s="1"/>
  <c r="F15" i="3"/>
  <c r="D13" i="24" s="1"/>
  <c r="F16" i="3"/>
  <c r="D13" i="22" s="1"/>
  <c r="F17" i="3"/>
  <c r="J15" i="26" s="1"/>
  <c r="F18" i="3"/>
  <c r="D15" i="22" s="1"/>
  <c r="F19" i="3"/>
  <c r="J17" i="26" s="1"/>
  <c r="F20" i="3"/>
  <c r="D17" i="22" s="1"/>
  <c r="F21" i="3"/>
  <c r="J19" i="26" s="1"/>
  <c r="F22" i="3"/>
  <c r="D19" i="22" s="1"/>
  <c r="F23" i="3"/>
  <c r="D20" i="22" s="1"/>
  <c r="F24" i="3"/>
  <c r="D21" i="22" s="1"/>
  <c r="F25" i="3"/>
  <c r="D22" i="22" s="1"/>
  <c r="F26" i="3"/>
  <c r="J24" i="26" s="1"/>
  <c r="F27" i="3"/>
  <c r="J25" i="26" s="1"/>
  <c r="F28" i="3"/>
  <c r="D25" i="22" s="1"/>
  <c r="F29" i="3"/>
  <c r="J27" i="26" s="1"/>
  <c r="F30" i="3"/>
  <c r="D27" i="22" s="1"/>
  <c r="F31" i="3"/>
  <c r="J29" i="26" s="1"/>
  <c r="F32" i="3"/>
  <c r="D29" i="22" s="1"/>
  <c r="F33" i="3"/>
  <c r="D30" i="22" s="1"/>
  <c r="F34" i="3"/>
  <c r="D31" i="22" s="1"/>
  <c r="F35" i="3"/>
  <c r="D32" i="22" s="1"/>
  <c r="F36" i="3"/>
  <c r="D33" i="22" s="1"/>
  <c r="F37" i="3"/>
  <c r="D35" i="24" s="1"/>
  <c r="F38" i="3"/>
  <c r="D35" i="22" s="1"/>
  <c r="F39" i="3"/>
  <c r="J37" i="26" s="1"/>
  <c r="F40" i="3"/>
  <c r="D37" i="22" s="1"/>
  <c r="F41" i="3"/>
  <c r="J39" i="26" s="1"/>
  <c r="F42" i="3"/>
  <c r="D39" i="22" s="1"/>
  <c r="F43" i="3"/>
  <c r="J41" i="26" s="1"/>
  <c r="D41" i="22"/>
  <c r="D42" i="22"/>
  <c r="B47" i="3"/>
  <c r="B48" i="3"/>
  <c r="B49" i="3"/>
  <c r="B50"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6" i="3"/>
  <c r="A6" i="3"/>
  <c r="A47" i="3"/>
  <c r="A48" i="3"/>
  <c r="A49" i="3"/>
  <c r="A50" i="3"/>
  <c r="A10" i="3"/>
  <c r="A11" i="3"/>
  <c r="A12" i="3"/>
  <c r="A13" i="3"/>
  <c r="A14" i="3"/>
  <c r="A15" i="3"/>
  <c r="A16" i="3"/>
  <c r="A17" i="3"/>
  <c r="A18" i="3"/>
  <c r="A19" i="3"/>
  <c r="A20" i="3"/>
  <c r="A21" i="3"/>
  <c r="A22" i="3"/>
  <c r="A23" i="3"/>
  <c r="A24" i="3"/>
  <c r="A25" i="3"/>
  <c r="A26" i="3"/>
  <c r="A27" i="3"/>
  <c r="A28" i="3"/>
  <c r="A29" i="3"/>
  <c r="A30" i="3"/>
  <c r="A31" i="3"/>
  <c r="A32" i="3"/>
  <c r="A33" i="3"/>
  <c r="A34" i="3"/>
  <c r="A35" i="3"/>
  <c r="A36" i="3"/>
  <c r="A37" i="3"/>
  <c r="A38" i="3"/>
  <c r="A39" i="3"/>
  <c r="A40" i="3"/>
  <c r="A41" i="3"/>
  <c r="A42" i="3"/>
  <c r="A43" i="3"/>
  <c r="A44" i="3"/>
  <c r="A45" i="3"/>
  <c r="A46" i="3"/>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6" i="2"/>
  <c r="A6" i="2"/>
  <c r="A47" i="2"/>
  <c r="A48" i="2"/>
  <c r="A49" i="2"/>
  <c r="A50" i="2"/>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A10" i="10"/>
  <c r="A11" i="10"/>
  <c r="B46"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A46" i="7"/>
  <c r="A47" i="7"/>
  <c r="A48" i="7"/>
  <c r="A10" i="7"/>
  <c r="A11" i="7"/>
  <c r="A12" i="7"/>
  <c r="A13" i="7"/>
  <c r="A14" i="7"/>
  <c r="A15" i="7"/>
  <c r="A16" i="7"/>
  <c r="A17" i="7"/>
  <c r="A18" i="7"/>
  <c r="A19" i="7"/>
  <c r="A20" i="7"/>
  <c r="A21" i="7"/>
  <c r="A22" i="7"/>
  <c r="A23" i="7"/>
  <c r="A24" i="7"/>
  <c r="A25" i="7"/>
  <c r="A26" i="7"/>
  <c r="A27" i="7"/>
  <c r="A28" i="7"/>
  <c r="A29" i="7"/>
  <c r="A30" i="7"/>
  <c r="A31" i="7"/>
  <c r="A32" i="7"/>
  <c r="A33" i="7"/>
  <c r="A34" i="7"/>
  <c r="A35" i="7"/>
  <c r="A36" i="7"/>
  <c r="A37" i="7"/>
  <c r="A38" i="7"/>
  <c r="A39" i="7"/>
  <c r="A40" i="7"/>
  <c r="A41" i="7"/>
  <c r="A42" i="7"/>
  <c r="A43" i="7"/>
  <c r="A44" i="7"/>
  <c r="A45" i="7"/>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9" i="3"/>
  <c r="N10" i="31" l="1"/>
  <c r="P10" i="29" s="1"/>
  <c r="N18" i="29"/>
  <c r="N10" i="29"/>
  <c r="H43" i="24"/>
  <c r="N31" i="31"/>
  <c r="P31" i="29" s="1"/>
  <c r="N32" i="31"/>
  <c r="P32" i="29" s="1"/>
  <c r="N33" i="31"/>
  <c r="P33" i="29" s="1"/>
  <c r="N34" i="29"/>
  <c r="N39" i="31"/>
  <c r="P39" i="29" s="1"/>
  <c r="N41" i="31"/>
  <c r="P41" i="29" s="1"/>
  <c r="N15" i="29"/>
  <c r="N16" i="29"/>
  <c r="N25" i="29"/>
  <c r="N31" i="29"/>
  <c r="N12" i="31"/>
  <c r="P12" i="29" s="1"/>
  <c r="N13" i="31"/>
  <c r="P13" i="29" s="1"/>
  <c r="N14" i="31"/>
  <c r="P14" i="29" s="1"/>
  <c r="N15" i="31"/>
  <c r="P15" i="29" s="1"/>
  <c r="N6" i="29"/>
  <c r="N11" i="31"/>
  <c r="P11" i="29" s="1"/>
  <c r="N11" i="29"/>
  <c r="N12" i="29"/>
  <c r="N13" i="29"/>
  <c r="N14" i="29"/>
  <c r="N16" i="31"/>
  <c r="P16" i="29" s="1"/>
  <c r="N17" i="31"/>
  <c r="P17" i="29" s="1"/>
  <c r="N18" i="31"/>
  <c r="P18" i="29" s="1"/>
  <c r="N19" i="31"/>
  <c r="P19" i="29" s="1"/>
  <c r="H43" i="22"/>
  <c r="H44" i="24"/>
  <c r="F5" i="26"/>
  <c r="C5" i="24"/>
  <c r="C6" i="24"/>
  <c r="F6" i="26"/>
  <c r="F7" i="26"/>
  <c r="C7" i="24"/>
  <c r="C8" i="24"/>
  <c r="F8" i="26"/>
  <c r="C9" i="24"/>
  <c r="C8" i="22"/>
  <c r="C10" i="24"/>
  <c r="C9" i="22"/>
  <c r="C11" i="24"/>
  <c r="C10" i="22"/>
  <c r="C11" i="22"/>
  <c r="C12" i="24"/>
  <c r="C12" i="22"/>
  <c r="C13" i="24"/>
  <c r="C13" i="22"/>
  <c r="C14" i="24"/>
  <c r="C14" i="22"/>
  <c r="C15" i="24"/>
  <c r="C16" i="24"/>
  <c r="C15" i="22"/>
  <c r="C17" i="24"/>
  <c r="F17" i="26"/>
  <c r="C16" i="22"/>
  <c r="C18" i="24"/>
  <c r="C17" i="22"/>
  <c r="F18" i="26"/>
  <c r="C18" i="22"/>
  <c r="C19" i="24"/>
  <c r="F19" i="26"/>
  <c r="F20" i="26"/>
  <c r="C20" i="24"/>
  <c r="C19" i="22"/>
  <c r="F21" i="26"/>
  <c r="C21" i="24"/>
  <c r="C20" i="22"/>
  <c r="F22" i="26"/>
  <c r="C21" i="22"/>
  <c r="C22" i="24"/>
  <c r="F23" i="26"/>
  <c r="C22" i="22"/>
  <c r="C23" i="24"/>
  <c r="C23" i="22"/>
  <c r="C24" i="24"/>
  <c r="F24" i="26"/>
  <c r="F25" i="26"/>
  <c r="C24" i="22"/>
  <c r="C25" i="24"/>
  <c r="C25" i="22"/>
  <c r="C26" i="24"/>
  <c r="C26" i="22"/>
  <c r="C27" i="24"/>
  <c r="C28" i="24"/>
  <c r="C27" i="22"/>
  <c r="C29" i="24"/>
  <c r="C28" i="22"/>
  <c r="C29" i="22"/>
  <c r="C30" i="24"/>
  <c r="C30" i="22"/>
  <c r="C31" i="24"/>
  <c r="F31" i="26"/>
  <c r="C32" i="24"/>
  <c r="F32" i="26"/>
  <c r="C31" i="22"/>
  <c r="C32" i="22"/>
  <c r="C33" i="24"/>
  <c r="F33" i="26"/>
  <c r="C33" i="22"/>
  <c r="F34" i="26"/>
  <c r="C34" i="24"/>
  <c r="C35" i="24"/>
  <c r="F35" i="26"/>
  <c r="C34" i="22"/>
  <c r="C36" i="24"/>
  <c r="C35" i="22"/>
  <c r="F36" i="26"/>
  <c r="C37" i="24"/>
  <c r="F37" i="26"/>
  <c r="C36" i="22"/>
  <c r="C37" i="22"/>
  <c r="C38" i="24"/>
  <c r="F38" i="26"/>
  <c r="C38" i="22"/>
  <c r="C39" i="24"/>
  <c r="C40" i="24"/>
  <c r="C39" i="22"/>
  <c r="C41" i="24"/>
  <c r="C40" i="22"/>
  <c r="C41" i="22"/>
  <c r="C42" i="24"/>
  <c r="C42" i="22"/>
  <c r="C43" i="24"/>
  <c r="C44" i="24"/>
  <c r="C43" i="22"/>
  <c r="M43" i="22"/>
  <c r="M44" i="24"/>
  <c r="M4" i="22"/>
  <c r="M5" i="24"/>
  <c r="M5" i="22"/>
  <c r="M6" i="24"/>
  <c r="M7" i="24"/>
  <c r="M6" i="22"/>
  <c r="M8" i="24"/>
  <c r="M7" i="22"/>
  <c r="M8" i="22"/>
  <c r="M9" i="24"/>
  <c r="M9" i="22"/>
  <c r="M10" i="24"/>
  <c r="M11" i="24"/>
  <c r="M10" i="22"/>
  <c r="M11" i="22"/>
  <c r="M12" i="24"/>
  <c r="M12" i="22"/>
  <c r="M13" i="24"/>
  <c r="M14" i="24"/>
  <c r="M13" i="22"/>
  <c r="M14" i="22"/>
  <c r="M15" i="24"/>
  <c r="M15" i="22"/>
  <c r="M16" i="24"/>
  <c r="M17" i="24"/>
  <c r="M16" i="22"/>
  <c r="M17" i="22"/>
  <c r="M18" i="24"/>
  <c r="M18" i="22"/>
  <c r="M19" i="24"/>
  <c r="M20" i="24"/>
  <c r="M19" i="22"/>
  <c r="M21" i="24"/>
  <c r="M20" i="22"/>
  <c r="M21" i="22"/>
  <c r="M22" i="24"/>
  <c r="M22" i="22"/>
  <c r="M23" i="24"/>
  <c r="M24" i="24"/>
  <c r="M23" i="22"/>
  <c r="M24" i="22"/>
  <c r="M25" i="24"/>
  <c r="M26" i="24"/>
  <c r="M25" i="22"/>
  <c r="M27" i="24"/>
  <c r="M26" i="22"/>
  <c r="M27" i="22"/>
  <c r="M28" i="24"/>
  <c r="M28" i="22"/>
  <c r="M29" i="24"/>
  <c r="M30" i="24"/>
  <c r="M29" i="22"/>
  <c r="M31" i="24"/>
  <c r="M30" i="22"/>
  <c r="M31" i="22"/>
  <c r="M32" i="24"/>
  <c r="M32" i="22"/>
  <c r="M33" i="24"/>
  <c r="M34" i="24"/>
  <c r="M33" i="22"/>
  <c r="M35" i="24"/>
  <c r="M34" i="22"/>
  <c r="M35" i="22"/>
  <c r="M36" i="24"/>
  <c r="M37" i="24"/>
  <c r="M36" i="22"/>
  <c r="M37" i="22"/>
  <c r="M38" i="24"/>
  <c r="M38" i="22"/>
  <c r="M39" i="24"/>
  <c r="M40" i="24"/>
  <c r="M39" i="22"/>
  <c r="M41" i="24"/>
  <c r="M40" i="22"/>
  <c r="M41" i="22"/>
  <c r="M42" i="24"/>
  <c r="M43" i="24"/>
  <c r="M42" i="22"/>
  <c r="L43" i="22"/>
  <c r="L44" i="24"/>
  <c r="AP44" i="26"/>
  <c r="L5" i="24"/>
  <c r="AP5" i="26"/>
  <c r="L4" i="22"/>
  <c r="L5" i="22"/>
  <c r="L6" i="24"/>
  <c r="AP6" i="26"/>
  <c r="L7" i="24"/>
  <c r="AP7" i="26"/>
  <c r="L6" i="22"/>
  <c r="L8" i="24"/>
  <c r="L7" i="22"/>
  <c r="AP8" i="26"/>
  <c r="AP9" i="26"/>
  <c r="L8" i="22"/>
  <c r="L9" i="24"/>
  <c r="L9" i="22"/>
  <c r="AP10" i="26"/>
  <c r="L10" i="24"/>
  <c r="AP11" i="26"/>
  <c r="L11" i="24"/>
  <c r="L10" i="22"/>
  <c r="L12" i="24"/>
  <c r="L11" i="22"/>
  <c r="L12" i="22"/>
  <c r="L13" i="24"/>
  <c r="L14" i="24"/>
  <c r="L13" i="22"/>
  <c r="L14" i="22"/>
  <c r="L15" i="24"/>
  <c r="AP16" i="26"/>
  <c r="L16" i="24"/>
  <c r="L15" i="22"/>
  <c r="L17" i="24"/>
  <c r="L16" i="22"/>
  <c r="AP17" i="26"/>
  <c r="L18" i="24"/>
  <c r="L17" i="22"/>
  <c r="AP18" i="26"/>
  <c r="AP19" i="26"/>
  <c r="L18" i="22"/>
  <c r="L19" i="24"/>
  <c r="L19" i="22"/>
  <c r="AP20" i="26"/>
  <c r="L20" i="24"/>
  <c r="L21" i="24"/>
  <c r="AP21" i="26"/>
  <c r="L20" i="22"/>
  <c r="L21" i="22"/>
  <c r="AP22" i="26"/>
  <c r="L22" i="24"/>
  <c r="AP23" i="26"/>
  <c r="L23" i="24"/>
  <c r="L22" i="22"/>
  <c r="L24" i="24"/>
  <c r="L23" i="22"/>
  <c r="AP24" i="26"/>
  <c r="AP25" i="26"/>
  <c r="L24" i="22"/>
  <c r="L25" i="24"/>
  <c r="L26" i="24"/>
  <c r="AP26" i="26"/>
  <c r="L25" i="22"/>
  <c r="AP27" i="26"/>
  <c r="L26" i="22"/>
  <c r="L27" i="24"/>
  <c r="L27" i="22"/>
  <c r="L28" i="24"/>
  <c r="AP28" i="26"/>
  <c r="L28" i="22"/>
  <c r="L29" i="24"/>
  <c r="L29" i="22"/>
  <c r="AP30" i="26"/>
  <c r="L30" i="24"/>
  <c r="AP31" i="26"/>
  <c r="L31" i="24"/>
  <c r="L30" i="22"/>
  <c r="AP32" i="26"/>
  <c r="L31" i="22"/>
  <c r="L32" i="24"/>
  <c r="AP33" i="26"/>
  <c r="L33" i="24"/>
  <c r="L32" i="22"/>
  <c r="L33" i="22"/>
  <c r="L34" i="24"/>
  <c r="AP34" i="26"/>
  <c r="L34" i="22"/>
  <c r="AP35" i="26"/>
  <c r="L35" i="24"/>
  <c r="L36" i="24"/>
  <c r="L35" i="22"/>
  <c r="AP36" i="26"/>
  <c r="L36" i="22"/>
  <c r="AP37" i="26"/>
  <c r="L37" i="24"/>
  <c r="AP38" i="26"/>
  <c r="L37" i="22"/>
  <c r="L38" i="24"/>
  <c r="AP39" i="26"/>
  <c r="L38" i="22"/>
  <c r="L39" i="24"/>
  <c r="L39" i="22"/>
  <c r="AP40" i="26"/>
  <c r="L40" i="24"/>
  <c r="L40" i="22"/>
  <c r="L41" i="24"/>
  <c r="L41" i="22"/>
  <c r="L42" i="24"/>
  <c r="L42" i="22"/>
  <c r="L43" i="24"/>
  <c r="K5" i="24"/>
  <c r="AL5" i="26"/>
  <c r="K4" i="22"/>
  <c r="AL6" i="26"/>
  <c r="K5" i="22"/>
  <c r="K6" i="24"/>
  <c r="K7" i="24"/>
  <c r="AL7" i="26"/>
  <c r="K6" i="22"/>
  <c r="K8" i="24"/>
  <c r="AL8" i="26"/>
  <c r="K7" i="22"/>
  <c r="AL9" i="26"/>
  <c r="K9" i="24"/>
  <c r="K8" i="22"/>
  <c r="AL10" i="26"/>
  <c r="K10" i="24"/>
  <c r="K9" i="22"/>
  <c r="K11" i="24"/>
  <c r="AL11" i="26"/>
  <c r="K10" i="22"/>
  <c r="K11" i="22"/>
  <c r="AL12" i="26"/>
  <c r="K12" i="24"/>
  <c r="K12" i="22"/>
  <c r="K13" i="24"/>
  <c r="K13" i="22"/>
  <c r="K14" i="24"/>
  <c r="K15" i="24"/>
  <c r="K14" i="22"/>
  <c r="K16" i="24"/>
  <c r="AL16" i="26"/>
  <c r="K15" i="22"/>
  <c r="AL17" i="26"/>
  <c r="K17" i="24"/>
  <c r="K16" i="22"/>
  <c r="K18" i="24"/>
  <c r="K17" i="22"/>
  <c r="AL18" i="26"/>
  <c r="AL19" i="26"/>
  <c r="K18" i="22"/>
  <c r="K19" i="24"/>
  <c r="AL20" i="26"/>
  <c r="K19" i="22"/>
  <c r="K20" i="24"/>
  <c r="K21" i="24"/>
  <c r="K20" i="22"/>
  <c r="AL21" i="26"/>
  <c r="AL22" i="26"/>
  <c r="K21" i="22"/>
  <c r="K22" i="24"/>
  <c r="K23" i="24"/>
  <c r="AL23" i="26"/>
  <c r="K22" i="22"/>
  <c r="AL24" i="26"/>
  <c r="K23" i="22"/>
  <c r="K24" i="24"/>
  <c r="K24" i="22"/>
  <c r="AL25" i="26"/>
  <c r="K25" i="24"/>
  <c r="K25" i="22"/>
  <c r="AL26" i="26"/>
  <c r="K26" i="24"/>
  <c r="K26" i="22"/>
  <c r="K27" i="24"/>
  <c r="AL27" i="26"/>
  <c r="K28" i="24"/>
  <c r="AL28" i="26"/>
  <c r="K27" i="22"/>
  <c r="K29" i="24"/>
  <c r="K28" i="22"/>
  <c r="K29" i="22"/>
  <c r="AL30" i="26"/>
  <c r="K30" i="24"/>
  <c r="K30" i="22"/>
  <c r="K31" i="24"/>
  <c r="AL31" i="26"/>
  <c r="K31" i="22"/>
  <c r="K32" i="24"/>
  <c r="AL32" i="26"/>
  <c r="AL33" i="26"/>
  <c r="K32" i="22"/>
  <c r="K33" i="24"/>
  <c r="AL34" i="26"/>
  <c r="K33" i="22"/>
  <c r="K34" i="24"/>
  <c r="AL35" i="26"/>
  <c r="K35" i="24"/>
  <c r="K34" i="22"/>
  <c r="K36" i="24"/>
  <c r="AL36" i="26"/>
  <c r="K35" i="22"/>
  <c r="K37" i="24"/>
  <c r="AL37" i="26"/>
  <c r="K36" i="22"/>
  <c r="AL38" i="26"/>
  <c r="K37" i="22"/>
  <c r="K38" i="24"/>
  <c r="AL39" i="26"/>
  <c r="K39" i="24"/>
  <c r="K38" i="22"/>
  <c r="AL40" i="26"/>
  <c r="K40" i="24"/>
  <c r="K39" i="22"/>
  <c r="K41" i="24"/>
  <c r="AL41" i="26"/>
  <c r="K40" i="22"/>
  <c r="J43" i="22"/>
  <c r="AH44" i="26"/>
  <c r="J44" i="24"/>
  <c r="J4" i="22"/>
  <c r="AH5" i="26"/>
  <c r="J5" i="24"/>
  <c r="J6" i="24"/>
  <c r="J5" i="22"/>
  <c r="AH6" i="26"/>
  <c r="AH7" i="26"/>
  <c r="J6" i="22"/>
  <c r="J7" i="24"/>
  <c r="J7" i="22"/>
  <c r="J8" i="24"/>
  <c r="AH8" i="26"/>
  <c r="J9" i="24"/>
  <c r="AH9" i="26"/>
  <c r="J8" i="22"/>
  <c r="J9" i="22"/>
  <c r="J10" i="24"/>
  <c r="AH10" i="26"/>
  <c r="J11" i="24"/>
  <c r="J10" i="22"/>
  <c r="AH11" i="26"/>
  <c r="J12" i="24"/>
  <c r="AH12" i="26"/>
  <c r="J11" i="22"/>
  <c r="J12" i="22"/>
  <c r="J13" i="24"/>
  <c r="J14" i="24"/>
  <c r="J13" i="22"/>
  <c r="J14" i="22"/>
  <c r="J15" i="24"/>
  <c r="J15" i="22"/>
  <c r="AH16" i="26"/>
  <c r="J16" i="24"/>
  <c r="J17" i="24"/>
  <c r="AH17" i="26"/>
  <c r="J16" i="22"/>
  <c r="J18" i="24"/>
  <c r="AH18" i="26"/>
  <c r="J17" i="22"/>
  <c r="AH19" i="26"/>
  <c r="J18" i="22"/>
  <c r="J19" i="24"/>
  <c r="J20" i="24"/>
  <c r="AH20" i="26"/>
  <c r="J19" i="22"/>
  <c r="J21" i="24"/>
  <c r="AH21" i="26"/>
  <c r="J20" i="22"/>
  <c r="J21" i="22"/>
  <c r="AH22" i="26"/>
  <c r="J22" i="24"/>
  <c r="AH23" i="26"/>
  <c r="J23" i="24"/>
  <c r="J22" i="22"/>
  <c r="J24" i="24"/>
  <c r="AH24" i="26"/>
  <c r="J23" i="22"/>
  <c r="J25" i="24"/>
  <c r="J24" i="22"/>
  <c r="AH25" i="26"/>
  <c r="J25" i="22"/>
  <c r="J26" i="24"/>
  <c r="AH26" i="26"/>
  <c r="J27" i="24"/>
  <c r="J26" i="22"/>
  <c r="AH27" i="26"/>
  <c r="J28" i="24"/>
  <c r="J27" i="22"/>
  <c r="AH28" i="26"/>
  <c r="AH29" i="26"/>
  <c r="J29" i="24"/>
  <c r="J28" i="22"/>
  <c r="J29" i="22"/>
  <c r="J30" i="24"/>
  <c r="J30" i="22"/>
  <c r="AH31" i="26"/>
  <c r="J31" i="24"/>
  <c r="J31" i="22"/>
  <c r="J32" i="24"/>
  <c r="AH32" i="26"/>
  <c r="AH33" i="26"/>
  <c r="J33" i="24"/>
  <c r="J32" i="22"/>
  <c r="J33" i="22"/>
  <c r="AH34" i="26"/>
  <c r="J34" i="24"/>
  <c r="J34" i="22"/>
  <c r="J35" i="24"/>
  <c r="AH35" i="26"/>
  <c r="J35" i="22"/>
  <c r="J36" i="24"/>
  <c r="AH36" i="26"/>
  <c r="J36" i="22"/>
  <c r="AH37" i="26"/>
  <c r="J37" i="24"/>
  <c r="J37" i="22"/>
  <c r="AH38" i="26"/>
  <c r="J38" i="24"/>
  <c r="AH39" i="26"/>
  <c r="J39" i="24"/>
  <c r="J38" i="22"/>
  <c r="AH40" i="26"/>
  <c r="J39" i="22"/>
  <c r="J40" i="24"/>
  <c r="AH41" i="26"/>
  <c r="J41" i="24"/>
  <c r="J40" i="22"/>
  <c r="J41" i="22"/>
  <c r="J42" i="24"/>
  <c r="J42" i="22"/>
  <c r="J43" i="24"/>
  <c r="AD39" i="26"/>
  <c r="I38" i="22"/>
  <c r="I39" i="24"/>
  <c r="I40" i="24"/>
  <c r="AD40" i="26"/>
  <c r="I39" i="22"/>
  <c r="I41" i="24"/>
  <c r="I40" i="22"/>
  <c r="AD41" i="26"/>
  <c r="I41" i="22"/>
  <c r="I42" i="24"/>
  <c r="AD42" i="26"/>
  <c r="I42" i="22"/>
  <c r="I43" i="24"/>
  <c r="I44" i="24"/>
  <c r="AD44" i="26"/>
  <c r="I43" i="22"/>
  <c r="E8" i="22"/>
  <c r="N9" i="26"/>
  <c r="E9" i="24"/>
  <c r="E9" i="22"/>
  <c r="N10" i="26"/>
  <c r="E10" i="24"/>
  <c r="E10" i="22"/>
  <c r="E11" i="24"/>
  <c r="N11" i="26"/>
  <c r="E12" i="24"/>
  <c r="N12" i="26"/>
  <c r="E11" i="22"/>
  <c r="N13" i="26"/>
  <c r="E13" i="24"/>
  <c r="E12" i="22"/>
  <c r="E14" i="24"/>
  <c r="N14" i="26"/>
  <c r="E13" i="22"/>
  <c r="E15" i="24"/>
  <c r="E14" i="22"/>
  <c r="E16" i="24"/>
  <c r="E15" i="22"/>
  <c r="N17" i="26"/>
  <c r="E17" i="24"/>
  <c r="E16" i="22"/>
  <c r="E17" i="22"/>
  <c r="N18" i="26"/>
  <c r="E18" i="24"/>
  <c r="E19" i="24"/>
  <c r="E18" i="22"/>
  <c r="N19" i="26"/>
  <c r="E20" i="24"/>
  <c r="N20" i="26"/>
  <c r="E19" i="22"/>
  <c r="E20" i="22"/>
  <c r="E21" i="24"/>
  <c r="N21" i="26"/>
  <c r="E22" i="24"/>
  <c r="N22" i="26"/>
  <c r="E21" i="22"/>
  <c r="N23" i="26"/>
  <c r="E22" i="22"/>
  <c r="E23" i="24"/>
  <c r="E23" i="22"/>
  <c r="E24" i="24"/>
  <c r="N24" i="26"/>
  <c r="E25" i="24"/>
  <c r="E24" i="22"/>
  <c r="N25" i="26"/>
  <c r="E26" i="24"/>
  <c r="N26" i="26"/>
  <c r="E25" i="22"/>
  <c r="N27" i="26"/>
  <c r="E27" i="24"/>
  <c r="E26" i="22"/>
  <c r="N28" i="26"/>
  <c r="E28" i="24"/>
  <c r="E27" i="22"/>
  <c r="E29" i="24"/>
  <c r="E28" i="22"/>
  <c r="N29" i="26"/>
  <c r="E30" i="24"/>
  <c r="E29" i="22"/>
  <c r="N30" i="26"/>
  <c r="N31" i="26"/>
  <c r="E31" i="24"/>
  <c r="E30" i="22"/>
  <c r="E31" i="22"/>
  <c r="N32" i="26"/>
  <c r="E32" i="24"/>
  <c r="E32" i="22"/>
  <c r="E33" i="24"/>
  <c r="N33" i="26"/>
  <c r="E33" i="22"/>
  <c r="N34" i="26"/>
  <c r="E34" i="24"/>
  <c r="E35" i="24"/>
  <c r="E34" i="22"/>
  <c r="N35" i="26"/>
  <c r="E36" i="24"/>
  <c r="N36" i="26"/>
  <c r="E35" i="22"/>
  <c r="E36" i="22"/>
  <c r="E37" i="24"/>
  <c r="N37" i="26"/>
  <c r="N38" i="26"/>
  <c r="E38" i="24"/>
  <c r="E37" i="22"/>
  <c r="E38" i="22"/>
  <c r="E39" i="24"/>
  <c r="N39" i="26"/>
  <c r="E40" i="24"/>
  <c r="N40" i="26"/>
  <c r="E39" i="22"/>
  <c r="N41" i="26"/>
  <c r="E40" i="22"/>
  <c r="E41" i="24"/>
  <c r="N42" i="26"/>
  <c r="E42" i="24"/>
  <c r="E41" i="22"/>
  <c r="E42" i="22"/>
  <c r="N43" i="26"/>
  <c r="E43" i="24"/>
  <c r="H9" i="22"/>
  <c r="Z10" i="26"/>
  <c r="H10" i="24"/>
  <c r="H10" i="22"/>
  <c r="Z11" i="26"/>
  <c r="H11" i="24"/>
  <c r="H11" i="22"/>
  <c r="H12" i="24"/>
  <c r="Z12" i="26"/>
  <c r="H13" i="24"/>
  <c r="Z13" i="26"/>
  <c r="H12" i="22"/>
  <c r="H13" i="22"/>
  <c r="H14" i="24"/>
  <c r="Z14" i="26"/>
  <c r="H14" i="22"/>
  <c r="H15" i="24"/>
  <c r="H15" i="22"/>
  <c r="H16" i="24"/>
  <c r="Z16" i="26"/>
  <c r="H16" i="22"/>
  <c r="Z17" i="26"/>
  <c r="H17" i="24"/>
  <c r="H17" i="22"/>
  <c r="Z18" i="26"/>
  <c r="H18" i="24"/>
  <c r="Z19" i="26"/>
  <c r="H18" i="22"/>
  <c r="H19" i="24"/>
  <c r="H20" i="24"/>
  <c r="Z20" i="26"/>
  <c r="H19" i="22"/>
  <c r="H21" i="24"/>
  <c r="Z21" i="26"/>
  <c r="H20" i="22"/>
  <c r="H21" i="22"/>
  <c r="Z22" i="26"/>
  <c r="H22" i="24"/>
  <c r="H23" i="24"/>
  <c r="Z23" i="26"/>
  <c r="H22" i="22"/>
  <c r="H24" i="24"/>
  <c r="Z24" i="26"/>
  <c r="H23" i="22"/>
  <c r="Z25" i="26"/>
  <c r="H25" i="24"/>
  <c r="H24" i="22"/>
  <c r="Z26" i="26"/>
  <c r="H25" i="22"/>
  <c r="H26" i="24"/>
  <c r="H27" i="24"/>
  <c r="H26" i="22"/>
  <c r="Z27" i="26"/>
  <c r="Z28" i="26"/>
  <c r="H28" i="24"/>
  <c r="H27" i="22"/>
  <c r="Z29" i="26"/>
  <c r="H28" i="22"/>
  <c r="H29" i="24"/>
  <c r="H29" i="22"/>
  <c r="Z30" i="26"/>
  <c r="H30" i="24"/>
  <c r="H31" i="24"/>
  <c r="Z31" i="26"/>
  <c r="H30" i="22"/>
  <c r="Z32" i="26"/>
  <c r="H32" i="24"/>
  <c r="H31" i="22"/>
  <c r="H32" i="22"/>
  <c r="H33" i="24"/>
  <c r="Z33" i="26"/>
  <c r="H33" i="22"/>
  <c r="H34" i="24"/>
  <c r="Z34" i="26"/>
  <c r="Z35" i="26"/>
  <c r="H35" i="24"/>
  <c r="H34" i="22"/>
  <c r="H36" i="24"/>
  <c r="H35" i="22"/>
  <c r="Z36" i="26"/>
  <c r="H36" i="22"/>
  <c r="Z37" i="26"/>
  <c r="H37" i="24"/>
  <c r="H38" i="24"/>
  <c r="Z38" i="26"/>
  <c r="H37" i="22"/>
  <c r="Z39" i="26"/>
  <c r="H39" i="24"/>
  <c r="H38" i="22"/>
  <c r="H39" i="22"/>
  <c r="H40" i="24"/>
  <c r="Z40" i="26"/>
  <c r="H41" i="24"/>
  <c r="Z41" i="26"/>
  <c r="H40" i="22"/>
  <c r="Z42" i="26"/>
  <c r="H42" i="24"/>
  <c r="H41" i="22"/>
  <c r="G43" i="22"/>
  <c r="G44" i="24"/>
  <c r="V44" i="26"/>
  <c r="G8" i="22"/>
  <c r="V9" i="26"/>
  <c r="G9" i="24"/>
  <c r="V10" i="26"/>
  <c r="G10" i="24"/>
  <c r="G9" i="22"/>
  <c r="G10" i="22"/>
  <c r="V11" i="26"/>
  <c r="G11" i="24"/>
  <c r="V12" i="26"/>
  <c r="G12" i="24"/>
  <c r="G11" i="22"/>
  <c r="G13" i="24"/>
  <c r="V13" i="26"/>
  <c r="G12" i="22"/>
  <c r="V14" i="26"/>
  <c r="G14" i="24"/>
  <c r="G13" i="22"/>
  <c r="G15" i="24"/>
  <c r="G14" i="22"/>
  <c r="V16" i="26"/>
  <c r="G16" i="24"/>
  <c r="G15" i="22"/>
  <c r="G16" i="22"/>
  <c r="G17" i="24"/>
  <c r="V17" i="26"/>
  <c r="G17" i="22"/>
  <c r="G18" i="24"/>
  <c r="V18" i="26"/>
  <c r="G19" i="24"/>
  <c r="V19" i="26"/>
  <c r="G18" i="22"/>
  <c r="G20" i="24"/>
  <c r="G19" i="22"/>
  <c r="V20" i="26"/>
  <c r="G20" i="22"/>
  <c r="G21" i="24"/>
  <c r="V21" i="26"/>
  <c r="G22" i="24"/>
  <c r="G21" i="22"/>
  <c r="V22" i="26"/>
  <c r="G24" i="24"/>
  <c r="G23" i="22"/>
  <c r="V24" i="26"/>
  <c r="G25" i="24"/>
  <c r="G24" i="22"/>
  <c r="V25" i="26"/>
  <c r="V26" i="26"/>
  <c r="G26" i="24"/>
  <c r="G25" i="22"/>
  <c r="V27" i="26"/>
  <c r="G26" i="22"/>
  <c r="G27" i="24"/>
  <c r="V28" i="26"/>
  <c r="G27" i="22"/>
  <c r="G28" i="24"/>
  <c r="G30" i="24"/>
  <c r="V30" i="26"/>
  <c r="G29" i="22"/>
  <c r="V31" i="26"/>
  <c r="G30" i="22"/>
  <c r="G31" i="24"/>
  <c r="V32" i="26"/>
  <c r="G31" i="22"/>
  <c r="G32" i="24"/>
  <c r="V33" i="26"/>
  <c r="G32" i="22"/>
  <c r="G33" i="24"/>
  <c r="V34" i="26"/>
  <c r="G33" i="22"/>
  <c r="G34" i="24"/>
  <c r="G35" i="24"/>
  <c r="V35" i="26"/>
  <c r="G34" i="22"/>
  <c r="G36" i="24"/>
  <c r="V36" i="26"/>
  <c r="G35" i="22"/>
  <c r="V37" i="26"/>
  <c r="G37" i="24"/>
  <c r="G36" i="22"/>
  <c r="V38" i="26"/>
  <c r="G37" i="22"/>
  <c r="G38" i="24"/>
  <c r="G38" i="22"/>
  <c r="G39" i="24"/>
  <c r="V39" i="26"/>
  <c r="G40" i="24"/>
  <c r="G39" i="22"/>
  <c r="V40" i="26"/>
  <c r="V41" i="26"/>
  <c r="G41" i="24"/>
  <c r="G40" i="22"/>
  <c r="G42" i="24"/>
  <c r="G41" i="22"/>
  <c r="V42" i="26"/>
  <c r="G42" i="22"/>
  <c r="G43" i="24"/>
  <c r="V43" i="26"/>
  <c r="F43" i="22"/>
  <c r="N43" i="22" s="1"/>
  <c r="R44" i="26"/>
  <c r="F44" i="24"/>
  <c r="R5" i="26"/>
  <c r="F4" i="22"/>
  <c r="F5" i="24"/>
  <c r="F6" i="24"/>
  <c r="F5" i="22"/>
  <c r="R6" i="26"/>
  <c r="F7" i="24"/>
  <c r="F6" i="22"/>
  <c r="R7" i="26"/>
  <c r="R8" i="26"/>
  <c r="F8" i="24"/>
  <c r="F7" i="22"/>
  <c r="F10" i="24"/>
  <c r="F9" i="22"/>
  <c r="R10" i="26"/>
  <c r="R11" i="26"/>
  <c r="F10" i="22"/>
  <c r="F11" i="24"/>
  <c r="F12" i="24"/>
  <c r="F11" i="22"/>
  <c r="R12" i="26"/>
  <c r="R13" i="26"/>
  <c r="F12" i="22"/>
  <c r="F13" i="24"/>
  <c r="R14" i="26"/>
  <c r="F13" i="22"/>
  <c r="F14" i="24"/>
  <c r="F14" i="22"/>
  <c r="F15" i="24"/>
  <c r="R15" i="26"/>
  <c r="F15" i="22"/>
  <c r="F16" i="24"/>
  <c r="R17" i="26"/>
  <c r="F16" i="22"/>
  <c r="F17" i="24"/>
  <c r="F18" i="24"/>
  <c r="F17" i="22"/>
  <c r="R18" i="26"/>
  <c r="F19" i="24"/>
  <c r="R19" i="26"/>
  <c r="F18" i="22"/>
  <c r="F20" i="24"/>
  <c r="F19" i="22"/>
  <c r="R20" i="26"/>
  <c r="F20" i="22"/>
  <c r="R21" i="26"/>
  <c r="F21" i="24"/>
  <c r="F21" i="22"/>
  <c r="R22" i="26"/>
  <c r="F22" i="24"/>
  <c r="R23" i="26"/>
  <c r="F23" i="24"/>
  <c r="F22" i="22"/>
  <c r="F24" i="24"/>
  <c r="F23" i="22"/>
  <c r="R24" i="26"/>
  <c r="F24" i="22"/>
  <c r="F25" i="24"/>
  <c r="R25" i="26"/>
  <c r="F26" i="24"/>
  <c r="F25" i="22"/>
  <c r="R26" i="26"/>
  <c r="F27" i="24"/>
  <c r="F26" i="22"/>
  <c r="R27" i="26"/>
  <c r="F27" i="22"/>
  <c r="F28" i="24"/>
  <c r="R28" i="26"/>
  <c r="R29" i="26"/>
  <c r="F29" i="24"/>
  <c r="F28" i="22"/>
  <c r="R30" i="26"/>
  <c r="F29" i="22"/>
  <c r="F30" i="24"/>
  <c r="R31" i="26"/>
  <c r="F31" i="24"/>
  <c r="F30" i="22"/>
  <c r="F32" i="24"/>
  <c r="R32" i="26"/>
  <c r="F31" i="22"/>
  <c r="R33" i="26"/>
  <c r="F32" i="22"/>
  <c r="F33" i="24"/>
  <c r="R34" i="26"/>
  <c r="F33" i="22"/>
  <c r="F34" i="24"/>
  <c r="F34" i="22"/>
  <c r="F35" i="24"/>
  <c r="R35" i="26"/>
  <c r="F35" i="22"/>
  <c r="F36" i="24"/>
  <c r="R36" i="26"/>
  <c r="F36" i="22"/>
  <c r="R37" i="26"/>
  <c r="F37" i="24"/>
  <c r="F38" i="24"/>
  <c r="F37" i="22"/>
  <c r="R38" i="26"/>
  <c r="R39" i="26"/>
  <c r="F39" i="24"/>
  <c r="F38" i="22"/>
  <c r="R40" i="26"/>
  <c r="F40" i="24"/>
  <c r="F39" i="22"/>
  <c r="F40" i="22"/>
  <c r="F41" i="24"/>
  <c r="R41" i="26"/>
  <c r="R42" i="26"/>
  <c r="F41" i="22"/>
  <c r="F42" i="24"/>
  <c r="R43" i="26"/>
  <c r="F42" i="22"/>
  <c r="F43" i="24"/>
  <c r="E7" i="22"/>
  <c r="N8" i="26"/>
  <c r="E8" i="24"/>
  <c r="I5" i="24"/>
  <c r="AD5" i="26"/>
  <c r="I4" i="22"/>
  <c r="AD6" i="26"/>
  <c r="I5" i="22"/>
  <c r="I6" i="24"/>
  <c r="AD7" i="26"/>
  <c r="I7" i="24"/>
  <c r="I6" i="22"/>
  <c r="AD8" i="26"/>
  <c r="I8" i="24"/>
  <c r="I7" i="22"/>
  <c r="I8" i="22"/>
  <c r="AD9" i="26"/>
  <c r="I9" i="24"/>
  <c r="I9" i="22"/>
  <c r="I10" i="24"/>
  <c r="AD10" i="26"/>
  <c r="AD11" i="26"/>
  <c r="I10" i="22"/>
  <c r="I11" i="24"/>
  <c r="AD12" i="26"/>
  <c r="I11" i="22"/>
  <c r="I12" i="24"/>
  <c r="AD13" i="26"/>
  <c r="I12" i="22"/>
  <c r="I13" i="24"/>
  <c r="AD14" i="26"/>
  <c r="I13" i="22"/>
  <c r="I14" i="24"/>
  <c r="I14" i="22"/>
  <c r="AD15" i="26"/>
  <c r="I15" i="24"/>
  <c r="I15" i="22"/>
  <c r="AD16" i="26"/>
  <c r="I16" i="24"/>
  <c r="I17" i="24"/>
  <c r="AD17" i="26"/>
  <c r="I16" i="22"/>
  <c r="I17" i="22"/>
  <c r="AD18" i="26"/>
  <c r="I18" i="24"/>
  <c r="I19" i="24"/>
  <c r="AD19" i="26"/>
  <c r="I18" i="22"/>
  <c r="AD20" i="26"/>
  <c r="I20" i="24"/>
  <c r="I19" i="22"/>
  <c r="AD21" i="26"/>
  <c r="I20" i="22"/>
  <c r="I21" i="24"/>
  <c r="I21" i="22"/>
  <c r="AD22" i="26"/>
  <c r="I22" i="24"/>
  <c r="I22" i="22"/>
  <c r="I23" i="24"/>
  <c r="AD23" i="26"/>
  <c r="I23" i="22"/>
  <c r="AD24" i="26"/>
  <c r="I24" i="24"/>
  <c r="I25" i="24"/>
  <c r="AD25" i="26"/>
  <c r="I24" i="22"/>
  <c r="I26" i="24"/>
  <c r="AD26" i="26"/>
  <c r="I25" i="22"/>
  <c r="I27" i="24"/>
  <c r="AD27" i="26"/>
  <c r="I26" i="22"/>
  <c r="I27" i="22"/>
  <c r="AD28" i="26"/>
  <c r="I28" i="24"/>
  <c r="I29" i="24"/>
  <c r="I28" i="22"/>
  <c r="AD29" i="26"/>
  <c r="I29" i="22"/>
  <c r="AD30" i="26"/>
  <c r="I30" i="24"/>
  <c r="I31" i="24"/>
  <c r="AD31" i="26"/>
  <c r="I30" i="22"/>
  <c r="I32" i="24"/>
  <c r="AD32" i="26"/>
  <c r="I31" i="22"/>
  <c r="AD33" i="26"/>
  <c r="I33" i="24"/>
  <c r="I32" i="22"/>
  <c r="I34" i="24"/>
  <c r="AD34" i="26"/>
  <c r="I33" i="22"/>
  <c r="AD35" i="26"/>
  <c r="I34" i="22"/>
  <c r="I35" i="24"/>
  <c r="AD36" i="26"/>
  <c r="I35" i="22"/>
  <c r="I36" i="24"/>
  <c r="AD37" i="26"/>
  <c r="I36" i="22"/>
  <c r="I37" i="24"/>
  <c r="AD38" i="26"/>
  <c r="I38" i="24"/>
  <c r="I37" i="22"/>
  <c r="N20" i="29"/>
  <c r="N21" i="31"/>
  <c r="P21" i="29" s="1"/>
  <c r="N26" i="29"/>
  <c r="N29" i="29"/>
  <c r="N26" i="31"/>
  <c r="P26" i="29" s="1"/>
  <c r="N36" i="29"/>
  <c r="N27" i="31"/>
  <c r="P27" i="29" s="1"/>
  <c r="N40" i="31"/>
  <c r="P40" i="29" s="1"/>
  <c r="N8" i="29"/>
  <c r="N27" i="29"/>
  <c r="N35" i="29"/>
  <c r="N37" i="31"/>
  <c r="P37" i="29" s="1"/>
  <c r="N20" i="31"/>
  <c r="P20" i="29" s="1"/>
  <c r="N28" i="31"/>
  <c r="P28" i="29" s="1"/>
  <c r="N33" i="29"/>
  <c r="N34" i="31"/>
  <c r="P34" i="29" s="1"/>
  <c r="N35" i="31"/>
  <c r="P35" i="29" s="1"/>
  <c r="N36" i="31"/>
  <c r="P36" i="29" s="1"/>
  <c r="N22" i="31"/>
  <c r="P22" i="29" s="1"/>
  <c r="N22" i="29"/>
  <c r="N23" i="29"/>
  <c r="N24" i="31"/>
  <c r="P24" i="29" s="1"/>
  <c r="N24" i="29"/>
  <c r="N30" i="31"/>
  <c r="P30" i="29" s="1"/>
  <c r="N30" i="29"/>
  <c r="N38" i="31"/>
  <c r="P38" i="29" s="1"/>
  <c r="N38" i="29"/>
  <c r="N39" i="29"/>
  <c r="N5" i="31"/>
  <c r="P5" i="29" s="1"/>
  <c r="N6" i="31"/>
  <c r="P6" i="29" s="1"/>
  <c r="N8" i="31"/>
  <c r="P8" i="29" s="1"/>
  <c r="N37" i="29"/>
  <c r="N7" i="29"/>
  <c r="N9" i="29"/>
  <c r="N17" i="29"/>
  <c r="N19" i="29"/>
  <c r="N21" i="29"/>
  <c r="N40" i="29"/>
  <c r="N7" i="31"/>
  <c r="P7" i="29" s="1"/>
  <c r="N25" i="31"/>
  <c r="P25" i="29" s="1"/>
  <c r="N28" i="29"/>
  <c r="N32" i="29"/>
  <c r="N41" i="29"/>
  <c r="K42" i="24"/>
  <c r="K42" i="29"/>
  <c r="N42" i="29" s="1"/>
  <c r="N42" i="31"/>
  <c r="P42" i="29" s="1"/>
  <c r="K43" i="31"/>
  <c r="H43" i="31"/>
  <c r="N43" i="29"/>
  <c r="Z44" i="26"/>
  <c r="E44" i="29"/>
  <c r="N44" i="29" s="1"/>
  <c r="E44" i="31"/>
  <c r="D34" i="22"/>
  <c r="D23" i="22"/>
  <c r="D12" i="22"/>
  <c r="D36" i="24"/>
  <c r="D25" i="24"/>
  <c r="D14" i="24"/>
  <c r="J36" i="26"/>
  <c r="J14" i="26"/>
  <c r="J9" i="26"/>
  <c r="D24" i="22"/>
  <c r="D37" i="24"/>
  <c r="D26" i="24"/>
  <c r="D15" i="24"/>
  <c r="D44" i="24"/>
  <c r="J43" i="26"/>
  <c r="J31" i="26"/>
  <c r="J26" i="26"/>
  <c r="J21" i="26"/>
  <c r="J44" i="26"/>
  <c r="N5" i="29"/>
  <c r="D36" i="22"/>
  <c r="D14" i="22"/>
  <c r="D38" i="24"/>
  <c r="D27" i="24"/>
  <c r="D16" i="24"/>
  <c r="D5" i="24"/>
  <c r="J38" i="26"/>
  <c r="J16" i="26"/>
  <c r="D26" i="22"/>
  <c r="D4" i="22"/>
  <c r="D39" i="24"/>
  <c r="D28" i="24"/>
  <c r="D17" i="24"/>
  <c r="D6" i="24"/>
  <c r="J33" i="26"/>
  <c r="J28" i="26"/>
  <c r="J23" i="26"/>
  <c r="J11" i="26"/>
  <c r="J6" i="26"/>
  <c r="D38" i="22"/>
  <c r="D16" i="22"/>
  <c r="D40" i="24"/>
  <c r="D29" i="24"/>
  <c r="D18" i="24"/>
  <c r="D7" i="24"/>
  <c r="J40" i="26"/>
  <c r="J18" i="26"/>
  <c r="D28" i="22"/>
  <c r="D6" i="22"/>
  <c r="D41" i="24"/>
  <c r="D19" i="24"/>
  <c r="D8" i="24"/>
  <c r="J35" i="26"/>
  <c r="J13" i="26"/>
  <c r="J8" i="26"/>
  <c r="D40" i="22"/>
  <c r="D18" i="22"/>
  <c r="D42" i="24"/>
  <c r="D30" i="24"/>
  <c r="D20" i="24"/>
  <c r="D9" i="24"/>
  <c r="J42" i="26"/>
  <c r="J30" i="26"/>
  <c r="J20" i="26"/>
  <c r="D43" i="24"/>
  <c r="D31" i="24"/>
  <c r="D21" i="24"/>
  <c r="D32" i="24"/>
  <c r="D22" i="24"/>
  <c r="D10" i="24"/>
  <c r="J32" i="26"/>
  <c r="J22" i="26"/>
  <c r="J10" i="26"/>
  <c r="N23" i="31"/>
  <c r="P23" i="29" s="1"/>
  <c r="D33" i="24"/>
  <c r="D23" i="24"/>
  <c r="D11" i="24"/>
  <c r="D34" i="24"/>
  <c r="D12" i="24"/>
  <c r="J34" i="26"/>
  <c r="J12" i="26"/>
  <c r="D24" i="24"/>
  <c r="F44" i="26"/>
  <c r="G23" i="24"/>
  <c r="V23" i="26"/>
  <c r="G29" i="24"/>
  <c r="V29" i="26"/>
  <c r="G29" i="31"/>
  <c r="R9" i="26"/>
  <c r="N9" i="31"/>
  <c r="F9" i="24"/>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9" i="2"/>
  <c r="A10" i="2"/>
  <c r="N22" i="22" l="1"/>
  <c r="N28" i="22"/>
  <c r="N9" i="22"/>
  <c r="N10" i="22"/>
  <c r="N11" i="22"/>
  <c r="N13" i="22"/>
  <c r="N15" i="22"/>
  <c r="N17" i="22"/>
  <c r="N19" i="22"/>
  <c r="N20" i="22"/>
  <c r="N21" i="22"/>
  <c r="N25" i="22"/>
  <c r="N27" i="22"/>
  <c r="N31" i="22"/>
  <c r="N32" i="22"/>
  <c r="N33" i="22"/>
  <c r="N35" i="22"/>
  <c r="N37" i="22"/>
  <c r="N39" i="22"/>
  <c r="N41" i="22"/>
  <c r="N42" i="22"/>
  <c r="N18" i="22"/>
  <c r="N34" i="22"/>
  <c r="N23" i="22"/>
  <c r="N12" i="22"/>
  <c r="N24" i="22"/>
  <c r="N36" i="22"/>
  <c r="N14" i="22"/>
  <c r="N26" i="22"/>
  <c r="N38" i="22"/>
  <c r="N16" i="22"/>
  <c r="N40" i="22"/>
  <c r="N29" i="22"/>
  <c r="N30" i="22"/>
  <c r="N43" i="31"/>
  <c r="P43" i="29" s="1"/>
  <c r="N44" i="31"/>
  <c r="P44" i="29" s="1"/>
  <c r="N29" i="31"/>
  <c r="P29" i="29" s="1"/>
  <c r="P9" i="29"/>
  <c r="D699" i="19"/>
  <c r="E699" i="19"/>
  <c r="C699" i="19"/>
  <c r="D697" i="19"/>
  <c r="E697" i="19"/>
  <c r="C697" i="19"/>
  <c r="B2" i="2" l="1"/>
  <c r="D47" i="32" l="1"/>
  <c r="C49" i="19" l="1"/>
  <c r="D49" i="19"/>
  <c r="E49" i="19"/>
  <c r="C50" i="19"/>
  <c r="D50" i="19"/>
  <c r="E50" i="19"/>
  <c r="C51" i="19"/>
  <c r="D51" i="19"/>
  <c r="E51" i="19"/>
  <c r="C52" i="19"/>
  <c r="D52" i="19"/>
  <c r="E52" i="19"/>
  <c r="C53" i="19"/>
  <c r="D53" i="19"/>
  <c r="E53" i="19"/>
  <c r="C54" i="19"/>
  <c r="D54" i="19"/>
  <c r="E54" i="19"/>
  <c r="F697" i="19" l="1"/>
  <c r="F6" i="11"/>
  <c r="A786" i="19" l="1"/>
  <c r="A765" i="19"/>
  <c r="A746" i="19"/>
  <c r="A725" i="19"/>
  <c r="A705" i="19"/>
  <c r="A684" i="19"/>
  <c r="A665" i="19"/>
  <c r="A644" i="19"/>
  <c r="A625" i="19"/>
  <c r="A604" i="19"/>
  <c r="A585" i="19"/>
  <c r="A564" i="19"/>
  <c r="A544" i="19"/>
  <c r="A524" i="19"/>
  <c r="A505" i="19"/>
  <c r="A484" i="19"/>
  <c r="A465" i="19"/>
  <c r="A444" i="19"/>
  <c r="A425" i="19"/>
  <c r="A404" i="19"/>
  <c r="A385" i="19"/>
  <c r="A364" i="19"/>
  <c r="A345" i="19"/>
  <c r="A324" i="19"/>
  <c r="A305" i="19"/>
  <c r="A284" i="19"/>
  <c r="A265" i="19"/>
  <c r="A244" i="19"/>
  <c r="A225" i="19"/>
  <c r="A204" i="19"/>
  <c r="A185" i="19"/>
  <c r="A164" i="19"/>
  <c r="A144" i="19"/>
  <c r="A123" i="19"/>
  <c r="A104" i="19"/>
  <c r="A83" i="19"/>
  <c r="A64" i="19"/>
  <c r="A43" i="19"/>
  <c r="A24" i="19"/>
  <c r="AR39" i="26" l="1"/>
  <c r="AS39" i="26"/>
  <c r="AR40" i="26"/>
  <c r="AS40" i="26"/>
  <c r="AR41" i="26"/>
  <c r="AS41" i="26"/>
  <c r="AR42" i="26"/>
  <c r="AS42" i="26"/>
  <c r="AR43" i="26"/>
  <c r="AS43" i="26"/>
  <c r="A38" i="32"/>
  <c r="B38" i="32"/>
  <c r="A39" i="32"/>
  <c r="B39" i="32"/>
  <c r="A40" i="32"/>
  <c r="B40" i="32"/>
  <c r="A41" i="32"/>
  <c r="B41" i="32"/>
  <c r="A42" i="32"/>
  <c r="B42" i="32"/>
  <c r="A43" i="32"/>
  <c r="B43" i="32"/>
  <c r="L43" i="32"/>
  <c r="L42" i="32"/>
  <c r="L41" i="32"/>
  <c r="L40" i="32"/>
  <c r="L39" i="32"/>
  <c r="L38" i="32"/>
  <c r="J43" i="32"/>
  <c r="J42" i="32"/>
  <c r="J41" i="32"/>
  <c r="J40" i="32"/>
  <c r="J39" i="32"/>
  <c r="J38" i="32"/>
  <c r="C39" i="32"/>
  <c r="D39" i="32"/>
  <c r="E39" i="32"/>
  <c r="F39" i="32"/>
  <c r="G39" i="32"/>
  <c r="H39" i="32"/>
  <c r="I39" i="32"/>
  <c r="K39" i="32"/>
  <c r="M39" i="32"/>
  <c r="C40" i="32"/>
  <c r="D40" i="32"/>
  <c r="E40" i="32"/>
  <c r="F40" i="32"/>
  <c r="G40" i="32"/>
  <c r="H40" i="32"/>
  <c r="I40" i="32"/>
  <c r="K40" i="32"/>
  <c r="M40" i="32"/>
  <c r="C41" i="32"/>
  <c r="D41" i="32"/>
  <c r="E41" i="32"/>
  <c r="F41" i="32"/>
  <c r="G41" i="32"/>
  <c r="H41" i="32"/>
  <c r="I41" i="32"/>
  <c r="K41" i="32"/>
  <c r="M41" i="32"/>
  <c r="C42" i="32"/>
  <c r="D42" i="32"/>
  <c r="E42" i="32"/>
  <c r="F42" i="32"/>
  <c r="G42" i="32"/>
  <c r="H42" i="32"/>
  <c r="I42" i="32"/>
  <c r="K42" i="32"/>
  <c r="M42" i="32"/>
  <c r="C43" i="32"/>
  <c r="D43" i="32"/>
  <c r="E43" i="32"/>
  <c r="F43" i="32"/>
  <c r="G43" i="32"/>
  <c r="H43" i="32"/>
  <c r="I43" i="32"/>
  <c r="K43" i="32"/>
  <c r="M43" i="32"/>
  <c r="F789" i="19"/>
  <c r="D789" i="19"/>
  <c r="C789" i="19"/>
  <c r="C787" i="19"/>
  <c r="F768" i="19"/>
  <c r="D768" i="19"/>
  <c r="C768" i="19"/>
  <c r="C766" i="19"/>
  <c r="F749" i="19"/>
  <c r="D749" i="19"/>
  <c r="C749" i="19"/>
  <c r="A748" i="19"/>
  <c r="C747" i="19"/>
  <c r="F728" i="19"/>
  <c r="D728" i="19"/>
  <c r="C728" i="19"/>
  <c r="C726" i="19"/>
  <c r="F708" i="19"/>
  <c r="D708" i="19"/>
  <c r="C708" i="19"/>
  <c r="C706" i="19"/>
  <c r="D792" i="19"/>
  <c r="E792" i="19"/>
  <c r="D793" i="19"/>
  <c r="E793" i="19"/>
  <c r="D794" i="19"/>
  <c r="E794" i="19"/>
  <c r="D795" i="19"/>
  <c r="E795" i="19"/>
  <c r="D796" i="19"/>
  <c r="E796" i="19"/>
  <c r="D797" i="19"/>
  <c r="E797" i="19"/>
  <c r="D798" i="19"/>
  <c r="E798" i="19"/>
  <c r="D799" i="19"/>
  <c r="E799" i="19"/>
  <c r="D800" i="19"/>
  <c r="E800" i="19"/>
  <c r="D801" i="19"/>
  <c r="E801" i="19"/>
  <c r="D802" i="19"/>
  <c r="E802" i="19"/>
  <c r="C802" i="19"/>
  <c r="C801" i="19"/>
  <c r="C800" i="19"/>
  <c r="C799" i="19"/>
  <c r="C798" i="19"/>
  <c r="C797" i="19"/>
  <c r="C796" i="19"/>
  <c r="C795" i="19"/>
  <c r="C794" i="19"/>
  <c r="C793" i="19"/>
  <c r="C792" i="19"/>
  <c r="D771" i="19"/>
  <c r="E771" i="19"/>
  <c r="D772" i="19"/>
  <c r="E772" i="19"/>
  <c r="D773" i="19"/>
  <c r="E773" i="19"/>
  <c r="D774" i="19"/>
  <c r="E774" i="19"/>
  <c r="D775" i="19"/>
  <c r="E775" i="19"/>
  <c r="D776" i="19"/>
  <c r="E776" i="19"/>
  <c r="D777" i="19"/>
  <c r="E777" i="19"/>
  <c r="D778" i="19"/>
  <c r="E778" i="19"/>
  <c r="D779" i="19"/>
  <c r="E779" i="19"/>
  <c r="D780" i="19"/>
  <c r="E780" i="19"/>
  <c r="D781" i="19"/>
  <c r="E781" i="19"/>
  <c r="C781" i="19"/>
  <c r="C780" i="19"/>
  <c r="C779" i="19"/>
  <c r="C778" i="19"/>
  <c r="C777" i="19"/>
  <c r="C776" i="19"/>
  <c r="C775" i="19"/>
  <c r="C774" i="19"/>
  <c r="C773" i="19"/>
  <c r="P40" i="32" l="1"/>
  <c r="N43" i="32"/>
  <c r="N40" i="32"/>
  <c r="N42" i="32"/>
  <c r="N41" i="32"/>
  <c r="N39" i="32"/>
  <c r="Q40" i="32"/>
  <c r="Q43" i="32"/>
  <c r="Q39" i="32"/>
  <c r="Q41" i="32"/>
  <c r="Q42" i="32"/>
  <c r="C772" i="19"/>
  <c r="C771" i="19"/>
  <c r="D752" i="19"/>
  <c r="E752" i="19"/>
  <c r="D753" i="19"/>
  <c r="E753" i="19"/>
  <c r="D754" i="19"/>
  <c r="E754" i="19"/>
  <c r="D755" i="19"/>
  <c r="E755" i="19"/>
  <c r="D756" i="19"/>
  <c r="E756" i="19"/>
  <c r="D757" i="19"/>
  <c r="E757" i="19"/>
  <c r="D758" i="19"/>
  <c r="E758" i="19"/>
  <c r="D759" i="19"/>
  <c r="E759" i="19"/>
  <c r="D760" i="19"/>
  <c r="E760" i="19"/>
  <c r="D761" i="19"/>
  <c r="E761" i="19"/>
  <c r="D762" i="19"/>
  <c r="E762" i="19"/>
  <c r="C762" i="19"/>
  <c r="C761" i="19"/>
  <c r="C760" i="19"/>
  <c r="C759" i="19"/>
  <c r="C758" i="19"/>
  <c r="C757" i="19"/>
  <c r="C756" i="19"/>
  <c r="C755" i="19"/>
  <c r="C754" i="19"/>
  <c r="C753" i="19"/>
  <c r="C752" i="19"/>
  <c r="D731" i="19"/>
  <c r="E731" i="19"/>
  <c r="D732" i="19"/>
  <c r="E732" i="19"/>
  <c r="D733" i="19"/>
  <c r="E733" i="19"/>
  <c r="D734" i="19"/>
  <c r="E734" i="19"/>
  <c r="D735" i="19"/>
  <c r="E735" i="19"/>
  <c r="D736" i="19"/>
  <c r="E736" i="19"/>
  <c r="D737" i="19"/>
  <c r="E737" i="19"/>
  <c r="D738" i="19"/>
  <c r="E738" i="19"/>
  <c r="D739" i="19"/>
  <c r="E739" i="19"/>
  <c r="D740" i="19"/>
  <c r="E740" i="19"/>
  <c r="D741" i="19"/>
  <c r="E741" i="19"/>
  <c r="C741" i="19"/>
  <c r="C740" i="19"/>
  <c r="C739" i="19"/>
  <c r="C738" i="19"/>
  <c r="C737" i="19"/>
  <c r="C736" i="19"/>
  <c r="C735" i="19"/>
  <c r="C734" i="19"/>
  <c r="C733" i="19"/>
  <c r="C732" i="19"/>
  <c r="C731" i="19"/>
  <c r="D711" i="19"/>
  <c r="E711" i="19"/>
  <c r="D712" i="19"/>
  <c r="E712" i="19"/>
  <c r="D713" i="19"/>
  <c r="E713" i="19"/>
  <c r="D714" i="19"/>
  <c r="E714" i="19"/>
  <c r="D715" i="19"/>
  <c r="E715" i="19"/>
  <c r="D716" i="19"/>
  <c r="E716" i="19"/>
  <c r="D717" i="19"/>
  <c r="E717" i="19"/>
  <c r="D718" i="19"/>
  <c r="E718" i="19"/>
  <c r="D719" i="19"/>
  <c r="E719" i="19"/>
  <c r="D720" i="19"/>
  <c r="E720" i="19"/>
  <c r="D721" i="19"/>
  <c r="E721" i="19"/>
  <c r="C721" i="19"/>
  <c r="C720" i="19"/>
  <c r="C719" i="19"/>
  <c r="C718" i="19"/>
  <c r="C717" i="19"/>
  <c r="C716" i="19"/>
  <c r="C715" i="19"/>
  <c r="C714" i="19"/>
  <c r="C713" i="19"/>
  <c r="C712" i="19"/>
  <c r="C711" i="19"/>
  <c r="A788" i="19"/>
  <c r="A767" i="19"/>
  <c r="A727" i="19"/>
  <c r="A707" i="19"/>
  <c r="A787" i="19"/>
  <c r="F786" i="19"/>
  <c r="A766" i="19"/>
  <c r="F765" i="19"/>
  <c r="A726" i="19"/>
  <c r="F725" i="19"/>
  <c r="A706" i="19"/>
  <c r="F705" i="19"/>
  <c r="F741" i="19"/>
  <c r="F760" i="19"/>
  <c r="F738" i="19"/>
  <c r="F717" i="19"/>
  <c r="F737" i="19"/>
  <c r="F735" i="19"/>
  <c r="F756" i="19"/>
  <c r="F754" i="19"/>
  <c r="F712" i="19"/>
  <c r="F731" i="19"/>
  <c r="F752" i="19"/>
  <c r="F714" i="19"/>
  <c r="F734" i="19"/>
  <c r="F699" i="19" l="1"/>
  <c r="F761" i="19"/>
  <c r="F740" i="19"/>
  <c r="P42" i="32"/>
  <c r="P43" i="32"/>
  <c r="P41" i="32"/>
  <c r="P39" i="32"/>
  <c r="AT39" i="26"/>
  <c r="AT41" i="26"/>
  <c r="F802" i="19"/>
  <c r="AT43" i="26"/>
  <c r="AT40" i="26"/>
  <c r="AT42" i="26"/>
  <c r="F781" i="19"/>
  <c r="F721" i="19"/>
  <c r="F762" i="19"/>
  <c r="F780" i="19"/>
  <c r="F801" i="19"/>
  <c r="F720" i="19"/>
  <c r="F739" i="19"/>
  <c r="F779" i="19"/>
  <c r="F800" i="19"/>
  <c r="F719" i="19"/>
  <c r="F799" i="19"/>
  <c r="F759" i="19"/>
  <c r="F778" i="19"/>
  <c r="F718" i="19"/>
  <c r="F777" i="19"/>
  <c r="F798" i="19"/>
  <c r="F758" i="19"/>
  <c r="F797" i="19"/>
  <c r="F736" i="19"/>
  <c r="F757" i="19"/>
  <c r="F716" i="19"/>
  <c r="F776" i="19"/>
  <c r="F796" i="19"/>
  <c r="F775" i="19"/>
  <c r="F715" i="19"/>
  <c r="F774" i="19"/>
  <c r="F795" i="19"/>
  <c r="F755" i="19"/>
  <c r="F794" i="19"/>
  <c r="F713" i="19"/>
  <c r="F773" i="19"/>
  <c r="F733" i="19"/>
  <c r="F772" i="19"/>
  <c r="F732" i="19"/>
  <c r="F793" i="19"/>
  <c r="F753" i="19"/>
  <c r="F792" i="19"/>
  <c r="F711" i="19"/>
  <c r="F771" i="19"/>
  <c r="B2" i="10"/>
  <c r="A6" i="10"/>
  <c r="B6" i="10"/>
  <c r="F6" i="10"/>
  <c r="A7" i="10"/>
  <c r="A8" i="10"/>
  <c r="A9" i="10"/>
  <c r="AK4" i="26" l="1"/>
  <c r="Y4" i="26"/>
  <c r="F6" i="14"/>
  <c r="F6" i="12"/>
  <c r="F7" i="8"/>
  <c r="F8" i="8"/>
  <c r="F9" i="8"/>
  <c r="F10" i="8"/>
  <c r="F11" i="8"/>
  <c r="F6" i="8"/>
  <c r="F7" i="7"/>
  <c r="F8" i="7"/>
  <c r="F9" i="7"/>
  <c r="F10" i="7"/>
  <c r="F6" i="7"/>
  <c r="F52" i="19"/>
  <c r="F6" i="6"/>
  <c r="F7" i="4"/>
  <c r="F8" i="4"/>
  <c r="F9" i="4"/>
  <c r="F6" i="4"/>
  <c r="F50" i="19"/>
  <c r="F6" i="3"/>
  <c r="F49" i="19"/>
  <c r="F6" i="2"/>
  <c r="C38" i="32"/>
  <c r="D38" i="32"/>
  <c r="E38" i="32"/>
  <c r="F38" i="32"/>
  <c r="G38" i="32"/>
  <c r="H38" i="32"/>
  <c r="I38" i="32"/>
  <c r="K38" i="32"/>
  <c r="M38" i="32"/>
  <c r="AK46" i="26" l="1"/>
  <c r="AK47" i="26"/>
  <c r="Y47" i="26"/>
  <c r="Y46" i="26"/>
  <c r="H5" i="24"/>
  <c r="Z5" i="26"/>
  <c r="H4" i="22"/>
  <c r="F54" i="19"/>
  <c r="Z6" i="26"/>
  <c r="H6" i="24"/>
  <c r="H5" i="22"/>
  <c r="Z7" i="26"/>
  <c r="H6" i="22"/>
  <c r="H7" i="24"/>
  <c r="H8" i="24"/>
  <c r="Z8" i="26"/>
  <c r="H7" i="22"/>
  <c r="H9" i="24"/>
  <c r="Z9" i="26"/>
  <c r="H8" i="22"/>
  <c r="N8" i="22" s="1"/>
  <c r="V5" i="26"/>
  <c r="G4" i="22"/>
  <c r="G5" i="24"/>
  <c r="F53" i="19"/>
  <c r="V6" i="26"/>
  <c r="G6" i="24"/>
  <c r="G5" i="22"/>
  <c r="G6" i="22"/>
  <c r="G7" i="24"/>
  <c r="V7" i="26"/>
  <c r="G8" i="24"/>
  <c r="G7" i="22"/>
  <c r="V8" i="26"/>
  <c r="E4" i="22"/>
  <c r="E5" i="24"/>
  <c r="N5" i="26"/>
  <c r="F51" i="19"/>
  <c r="N6" i="26"/>
  <c r="E6" i="24"/>
  <c r="E5" i="22"/>
  <c r="N7" i="26"/>
  <c r="E7" i="24"/>
  <c r="E6" i="22"/>
  <c r="N38" i="32"/>
  <c r="F484" i="19"/>
  <c r="N7" i="22" l="1"/>
  <c r="N4" i="22"/>
  <c r="N5" i="22"/>
  <c r="N6" i="22"/>
  <c r="Y48" i="26"/>
  <c r="Y50" i="26" s="1"/>
  <c r="Y51" i="26" s="1"/>
  <c r="C410" i="19"/>
  <c r="C411" i="19"/>
  <c r="C412" i="19"/>
  <c r="C413" i="19"/>
  <c r="C414" i="19"/>
  <c r="C415" i="19"/>
  <c r="C416" i="19"/>
  <c r="C417" i="19"/>
  <c r="C418" i="19"/>
  <c r="C419" i="19"/>
  <c r="C420" i="19"/>
  <c r="C431" i="19"/>
  <c r="C432" i="19"/>
  <c r="C433" i="19"/>
  <c r="C434" i="19"/>
  <c r="C435" i="19"/>
  <c r="C436" i="19"/>
  <c r="C437" i="19"/>
  <c r="C438" i="19"/>
  <c r="C439" i="19"/>
  <c r="C440" i="19"/>
  <c r="C441" i="19"/>
  <c r="C450" i="19"/>
  <c r="C451" i="19"/>
  <c r="C452" i="19"/>
  <c r="C453" i="19"/>
  <c r="C454" i="19"/>
  <c r="C455" i="19"/>
  <c r="C456" i="19"/>
  <c r="C457" i="19"/>
  <c r="C458" i="19"/>
  <c r="C459" i="19"/>
  <c r="C460" i="19"/>
  <c r="C471" i="19"/>
  <c r="C472" i="19"/>
  <c r="C473" i="19"/>
  <c r="C474" i="19"/>
  <c r="C475" i="19"/>
  <c r="C476" i="19"/>
  <c r="C477" i="19"/>
  <c r="C478" i="19"/>
  <c r="C479" i="19"/>
  <c r="C480" i="19"/>
  <c r="C481" i="19"/>
  <c r="C490" i="19"/>
  <c r="C491" i="19"/>
  <c r="C492" i="19"/>
  <c r="C493" i="19"/>
  <c r="C494" i="19"/>
  <c r="C495" i="19"/>
  <c r="C496" i="19"/>
  <c r="C497" i="19"/>
  <c r="C498" i="19"/>
  <c r="C499" i="19"/>
  <c r="C500" i="19"/>
  <c r="C511" i="19"/>
  <c r="C512" i="19"/>
  <c r="C513" i="19"/>
  <c r="C514" i="19"/>
  <c r="C515" i="19"/>
  <c r="C516" i="19"/>
  <c r="C517" i="19"/>
  <c r="C518" i="19"/>
  <c r="C519" i="19"/>
  <c r="C520" i="19"/>
  <c r="C521" i="19"/>
  <c r="C529" i="19"/>
  <c r="C530" i="19"/>
  <c r="C531" i="19"/>
  <c r="C532" i="19"/>
  <c r="C533" i="19"/>
  <c r="C534" i="19"/>
  <c r="C535" i="19"/>
  <c r="C536" i="19"/>
  <c r="C537" i="19"/>
  <c r="C538" i="19"/>
  <c r="C539" i="19"/>
  <c r="C550" i="19"/>
  <c r="C551" i="19"/>
  <c r="C552" i="19"/>
  <c r="C553" i="19"/>
  <c r="C554" i="19"/>
  <c r="C555" i="19"/>
  <c r="C556" i="19"/>
  <c r="C557" i="19"/>
  <c r="C558" i="19"/>
  <c r="C559" i="19"/>
  <c r="C560" i="19"/>
  <c r="C570" i="19"/>
  <c r="C571" i="19"/>
  <c r="C572" i="19"/>
  <c r="C573" i="19"/>
  <c r="C574" i="19"/>
  <c r="C575" i="19"/>
  <c r="C576" i="19"/>
  <c r="C577" i="19"/>
  <c r="C578" i="19"/>
  <c r="C579" i="19"/>
  <c r="C580" i="19"/>
  <c r="C591" i="19"/>
  <c r="C592" i="19"/>
  <c r="C593" i="19"/>
  <c r="C594" i="19"/>
  <c r="C595" i="19"/>
  <c r="C596" i="19"/>
  <c r="C597" i="19"/>
  <c r="C598" i="19"/>
  <c r="C599" i="19"/>
  <c r="C600" i="19"/>
  <c r="C601" i="19"/>
  <c r="C610" i="19"/>
  <c r="C611" i="19"/>
  <c r="C612" i="19"/>
  <c r="C613" i="19"/>
  <c r="C614" i="19"/>
  <c r="C615" i="19"/>
  <c r="C616" i="19"/>
  <c r="C617" i="19"/>
  <c r="C618" i="19"/>
  <c r="C619" i="19"/>
  <c r="C620" i="19"/>
  <c r="C631" i="19"/>
  <c r="C632" i="19"/>
  <c r="C633" i="19"/>
  <c r="C634" i="19"/>
  <c r="C635" i="19"/>
  <c r="C636" i="19"/>
  <c r="C637" i="19"/>
  <c r="C638" i="19"/>
  <c r="C639" i="19"/>
  <c r="C640" i="19"/>
  <c r="C641" i="19"/>
  <c r="C650" i="19"/>
  <c r="C651" i="19"/>
  <c r="C652" i="19"/>
  <c r="C653" i="19"/>
  <c r="C654" i="19"/>
  <c r="C655" i="19"/>
  <c r="C656" i="19"/>
  <c r="C657" i="19"/>
  <c r="C658" i="19"/>
  <c r="C659" i="19"/>
  <c r="C660" i="19"/>
  <c r="C671" i="19"/>
  <c r="C672" i="19"/>
  <c r="C673" i="19"/>
  <c r="C674" i="19"/>
  <c r="C675" i="19"/>
  <c r="C676" i="19"/>
  <c r="C677" i="19"/>
  <c r="C678" i="19"/>
  <c r="C679" i="19"/>
  <c r="C680" i="19"/>
  <c r="C681" i="19"/>
  <c r="C690" i="19"/>
  <c r="C691" i="19"/>
  <c r="C692" i="19"/>
  <c r="C693" i="19"/>
  <c r="C694" i="19"/>
  <c r="C695" i="19"/>
  <c r="C696" i="19"/>
  <c r="C698" i="19"/>
  <c r="C700" i="19"/>
  <c r="C36" i="19" l="1"/>
  <c r="C30" i="19"/>
  <c r="C31" i="19"/>
  <c r="C32" i="19"/>
  <c r="C33" i="19"/>
  <c r="C34" i="19"/>
  <c r="C35" i="19"/>
  <c r="C37" i="19"/>
  <c r="C38" i="19"/>
  <c r="C39" i="19"/>
  <c r="C40" i="19"/>
  <c r="C55" i="19"/>
  <c r="C56" i="19"/>
  <c r="C57" i="19"/>
  <c r="C58" i="19"/>
  <c r="C59" i="19"/>
  <c r="C70" i="19"/>
  <c r="C71" i="19"/>
  <c r="C72" i="19"/>
  <c r="C73" i="19"/>
  <c r="C74" i="19"/>
  <c r="C75" i="19"/>
  <c r="C76" i="19"/>
  <c r="C77" i="19"/>
  <c r="C78" i="19"/>
  <c r="C79" i="19"/>
  <c r="C80" i="19"/>
  <c r="C89" i="19"/>
  <c r="C90" i="19"/>
  <c r="C91" i="19"/>
  <c r="C92" i="19"/>
  <c r="C93" i="19"/>
  <c r="C94" i="19"/>
  <c r="C95" i="19"/>
  <c r="C96" i="19"/>
  <c r="C97" i="19"/>
  <c r="C98" i="19"/>
  <c r="C99" i="19"/>
  <c r="C110" i="19"/>
  <c r="C111" i="19"/>
  <c r="C112" i="19"/>
  <c r="C113" i="19"/>
  <c r="C114" i="19"/>
  <c r="C115" i="19"/>
  <c r="C116" i="19"/>
  <c r="C117" i="19"/>
  <c r="C118" i="19"/>
  <c r="C119" i="19"/>
  <c r="C120" i="19"/>
  <c r="C129" i="19"/>
  <c r="C130" i="19"/>
  <c r="C131" i="19"/>
  <c r="C132" i="19"/>
  <c r="C133" i="19"/>
  <c r="C134" i="19"/>
  <c r="C135" i="19"/>
  <c r="C136" i="19"/>
  <c r="C137" i="19"/>
  <c r="C138" i="19"/>
  <c r="C139" i="19"/>
  <c r="C150" i="19"/>
  <c r="C151" i="19"/>
  <c r="C152" i="19"/>
  <c r="C153" i="19"/>
  <c r="C154" i="19"/>
  <c r="C155" i="19"/>
  <c r="C156" i="19"/>
  <c r="C157" i="19"/>
  <c r="C158" i="19"/>
  <c r="C159" i="19"/>
  <c r="C160" i="19"/>
  <c r="C170" i="19"/>
  <c r="C171" i="19"/>
  <c r="C172" i="19"/>
  <c r="C173" i="19"/>
  <c r="C174" i="19"/>
  <c r="C175" i="19"/>
  <c r="C176" i="19"/>
  <c r="C177" i="19"/>
  <c r="C178" i="19"/>
  <c r="C179" i="19"/>
  <c r="C180" i="19"/>
  <c r="C191" i="19"/>
  <c r="C192" i="19"/>
  <c r="C193" i="19"/>
  <c r="C194" i="19"/>
  <c r="C195" i="19"/>
  <c r="C196" i="19"/>
  <c r="C197" i="19"/>
  <c r="C198" i="19"/>
  <c r="C199" i="19"/>
  <c r="C200" i="19"/>
  <c r="C201" i="19"/>
  <c r="C210" i="19"/>
  <c r="C211" i="19"/>
  <c r="C212" i="19"/>
  <c r="C213" i="19"/>
  <c r="C214" i="19"/>
  <c r="C215" i="19"/>
  <c r="C216" i="19"/>
  <c r="C217" i="19"/>
  <c r="C218" i="19"/>
  <c r="C219" i="19"/>
  <c r="C220" i="19"/>
  <c r="C231" i="19"/>
  <c r="C232" i="19"/>
  <c r="C233" i="19"/>
  <c r="C234" i="19"/>
  <c r="C235" i="19"/>
  <c r="C236" i="19"/>
  <c r="C237" i="19"/>
  <c r="C238" i="19"/>
  <c r="C239" i="19"/>
  <c r="C240" i="19"/>
  <c r="C241" i="19"/>
  <c r="C250" i="19"/>
  <c r="C251" i="19"/>
  <c r="C252" i="19"/>
  <c r="C253" i="19"/>
  <c r="C254" i="19"/>
  <c r="C255" i="19"/>
  <c r="C256" i="19"/>
  <c r="C257" i="19"/>
  <c r="C258" i="19"/>
  <c r="C259" i="19"/>
  <c r="C260" i="19"/>
  <c r="C271" i="19"/>
  <c r="C272" i="19"/>
  <c r="C273" i="19"/>
  <c r="C274" i="19"/>
  <c r="C275" i="19"/>
  <c r="C276" i="19"/>
  <c r="C277" i="19"/>
  <c r="C278" i="19"/>
  <c r="C279" i="19"/>
  <c r="C280" i="19"/>
  <c r="C281" i="19"/>
  <c r="C290" i="19"/>
  <c r="C291" i="19"/>
  <c r="C292" i="19"/>
  <c r="C293" i="19"/>
  <c r="C294" i="19"/>
  <c r="C295" i="19"/>
  <c r="C296" i="19"/>
  <c r="C297" i="19"/>
  <c r="C298" i="19"/>
  <c r="C299" i="19"/>
  <c r="C300" i="19"/>
  <c r="C311" i="19"/>
  <c r="C312" i="19"/>
  <c r="C313" i="19"/>
  <c r="C314" i="19"/>
  <c r="C315" i="19"/>
  <c r="C316" i="19"/>
  <c r="C317" i="19"/>
  <c r="C318" i="19"/>
  <c r="C319" i="19"/>
  <c r="C320" i="19"/>
  <c r="C321" i="19"/>
  <c r="C330" i="19"/>
  <c r="C331" i="19"/>
  <c r="C332" i="19"/>
  <c r="C333" i="19"/>
  <c r="C334" i="19"/>
  <c r="C335" i="19"/>
  <c r="C336" i="19"/>
  <c r="C337" i="19"/>
  <c r="C338" i="19"/>
  <c r="C339" i="19"/>
  <c r="C340" i="19"/>
  <c r="C351" i="19"/>
  <c r="C352" i="19"/>
  <c r="C353" i="19"/>
  <c r="C354" i="19"/>
  <c r="C355" i="19"/>
  <c r="C356" i="19"/>
  <c r="C357" i="19"/>
  <c r="C358" i="19"/>
  <c r="C359" i="19"/>
  <c r="C360" i="19"/>
  <c r="C361" i="19"/>
  <c r="C370" i="19"/>
  <c r="C371" i="19"/>
  <c r="C372" i="19"/>
  <c r="C373" i="19"/>
  <c r="C374" i="19"/>
  <c r="C375" i="19"/>
  <c r="C376" i="19"/>
  <c r="C377" i="19"/>
  <c r="C378" i="19"/>
  <c r="C379" i="19"/>
  <c r="C380" i="19"/>
  <c r="C391" i="19"/>
  <c r="C392" i="19"/>
  <c r="C393" i="19"/>
  <c r="C394" i="19"/>
  <c r="C395" i="19"/>
  <c r="C396" i="19"/>
  <c r="C397" i="19"/>
  <c r="C398" i="19"/>
  <c r="C399" i="19"/>
  <c r="C400" i="19"/>
  <c r="C401" i="19"/>
  <c r="D378" i="19"/>
  <c r="E378" i="19"/>
  <c r="D379" i="19"/>
  <c r="E379" i="19"/>
  <c r="D359" i="19"/>
  <c r="E359" i="19"/>
  <c r="D401" i="19"/>
  <c r="E401" i="19"/>
  <c r="D79" i="19"/>
  <c r="E79" i="19"/>
  <c r="D80" i="19"/>
  <c r="E80" i="19"/>
  <c r="F83" i="19"/>
  <c r="C84" i="19"/>
  <c r="C86" i="19"/>
  <c r="D86" i="19"/>
  <c r="F86" i="19"/>
  <c r="E17" i="19" l="1"/>
  <c r="D119" i="19"/>
  <c r="E119" i="19"/>
  <c r="D120" i="19"/>
  <c r="E120" i="19"/>
  <c r="F123" i="19"/>
  <c r="C124" i="19"/>
  <c r="C126" i="19"/>
  <c r="D126" i="19"/>
  <c r="F126" i="19"/>
  <c r="F43" i="19"/>
  <c r="D240" i="19" l="1"/>
  <c r="E240" i="19"/>
  <c r="B36" i="32" l="1"/>
  <c r="B37" i="32"/>
  <c r="I37" i="32"/>
  <c r="M37" i="32"/>
  <c r="A36" i="32"/>
  <c r="A37" i="32"/>
  <c r="C37" i="32"/>
  <c r="D37" i="32"/>
  <c r="E37" i="32"/>
  <c r="F37" i="32"/>
  <c r="G37" i="32"/>
  <c r="H37" i="32"/>
  <c r="J37" i="32"/>
  <c r="K37" i="32"/>
  <c r="L37" i="32"/>
  <c r="Q37" i="32" l="1"/>
  <c r="Q38" i="32"/>
  <c r="N37" i="32"/>
  <c r="P38" i="32"/>
  <c r="P37" i="32" l="1"/>
  <c r="B35" i="32" l="1"/>
  <c r="A35" i="32"/>
  <c r="B34" i="32"/>
  <c r="A34" i="32"/>
  <c r="B33" i="32"/>
  <c r="A33" i="32"/>
  <c r="B32" i="32"/>
  <c r="A32" i="32"/>
  <c r="B31" i="32"/>
  <c r="A31" i="32"/>
  <c r="B30" i="32"/>
  <c r="A30" i="32"/>
  <c r="B29" i="32"/>
  <c r="A29" i="32"/>
  <c r="B28" i="32"/>
  <c r="A28" i="32"/>
  <c r="B27" i="32"/>
  <c r="A27" i="32"/>
  <c r="B26" i="32"/>
  <c r="A26" i="32"/>
  <c r="B25" i="32"/>
  <c r="A25" i="32"/>
  <c r="B24" i="32"/>
  <c r="A24" i="32"/>
  <c r="B23" i="32"/>
  <c r="A23" i="32"/>
  <c r="B22" i="32"/>
  <c r="A22" i="32"/>
  <c r="B21" i="32"/>
  <c r="A21" i="32"/>
  <c r="B20" i="32"/>
  <c r="A20" i="32"/>
  <c r="B19" i="32"/>
  <c r="A19" i="32"/>
  <c r="B18" i="32"/>
  <c r="A18" i="32"/>
  <c r="B17" i="32"/>
  <c r="A17" i="32"/>
  <c r="B16" i="32"/>
  <c r="A16" i="32"/>
  <c r="B15" i="32"/>
  <c r="A15" i="32"/>
  <c r="B14" i="32"/>
  <c r="A14" i="32"/>
  <c r="B13" i="32"/>
  <c r="A13" i="32"/>
  <c r="B12" i="32"/>
  <c r="A12" i="32"/>
  <c r="B11" i="32"/>
  <c r="A11" i="32"/>
  <c r="B10" i="32"/>
  <c r="A10" i="32"/>
  <c r="B9" i="32"/>
  <c r="A9" i="32"/>
  <c r="B8" i="32"/>
  <c r="A8" i="32"/>
  <c r="B7" i="32"/>
  <c r="A7" i="32"/>
  <c r="B6" i="32"/>
  <c r="A6" i="32"/>
  <c r="B5" i="32"/>
  <c r="A5" i="32"/>
  <c r="B4" i="32"/>
  <c r="A4" i="32"/>
  <c r="A2" i="32"/>
  <c r="B4" i="31"/>
  <c r="A4" i="31"/>
  <c r="A2" i="31"/>
  <c r="B4" i="29" l="1"/>
  <c r="A4" i="29"/>
  <c r="A2" i="29"/>
  <c r="I3" i="22" l="1"/>
  <c r="I45" i="22" s="1"/>
  <c r="C25" i="32"/>
  <c r="D25" i="32"/>
  <c r="E25" i="32"/>
  <c r="F25" i="32"/>
  <c r="G25" i="32"/>
  <c r="H25" i="32"/>
  <c r="I25" i="32"/>
  <c r="J25" i="32"/>
  <c r="K25" i="32"/>
  <c r="L25" i="32"/>
  <c r="M25" i="32"/>
  <c r="N25" i="32" l="1"/>
  <c r="Q25" i="32" l="1"/>
  <c r="P25" i="32" l="1"/>
  <c r="AG4" i="26"/>
  <c r="AF4" i="26"/>
  <c r="AE4" i="26"/>
  <c r="AR5" i="26"/>
  <c r="AS5" i="26"/>
  <c r="AR6" i="26"/>
  <c r="AS6" i="26"/>
  <c r="AR7" i="26"/>
  <c r="AS7" i="26"/>
  <c r="AR8" i="26"/>
  <c r="AS8" i="26"/>
  <c r="AR9" i="26"/>
  <c r="AS9" i="26"/>
  <c r="AR10" i="26"/>
  <c r="AS10" i="26"/>
  <c r="AR11" i="26"/>
  <c r="AS11" i="26"/>
  <c r="AR12" i="26"/>
  <c r="AS12" i="26"/>
  <c r="AR13" i="26"/>
  <c r="AS13" i="26"/>
  <c r="AR14" i="26"/>
  <c r="AS14" i="26"/>
  <c r="AR15" i="26"/>
  <c r="AS15" i="26"/>
  <c r="AR16" i="26"/>
  <c r="AS16" i="26"/>
  <c r="AR17" i="26"/>
  <c r="AS17" i="26"/>
  <c r="AR18" i="26"/>
  <c r="AS18" i="26"/>
  <c r="AR19" i="26"/>
  <c r="AS19" i="26"/>
  <c r="AR20" i="26"/>
  <c r="AS20" i="26"/>
  <c r="AR21" i="26"/>
  <c r="AS21" i="26"/>
  <c r="AR22" i="26"/>
  <c r="AS22" i="26"/>
  <c r="AR23" i="26"/>
  <c r="AS23" i="26"/>
  <c r="AR24" i="26"/>
  <c r="AS24" i="26"/>
  <c r="AR25" i="26"/>
  <c r="AS25" i="26"/>
  <c r="AR26" i="26"/>
  <c r="AS26" i="26"/>
  <c r="AR27" i="26"/>
  <c r="AS27" i="26"/>
  <c r="AR28" i="26"/>
  <c r="AS28" i="26"/>
  <c r="AR29" i="26"/>
  <c r="AS29" i="26"/>
  <c r="AR30" i="26"/>
  <c r="AS30" i="26"/>
  <c r="AR31" i="26"/>
  <c r="AS31" i="26"/>
  <c r="AR32" i="26"/>
  <c r="AS32" i="26"/>
  <c r="AR33" i="26"/>
  <c r="AS33" i="26"/>
  <c r="AR34" i="26"/>
  <c r="AS34" i="26"/>
  <c r="AR35" i="26"/>
  <c r="AS35" i="26"/>
  <c r="AR36" i="26"/>
  <c r="AS36" i="26"/>
  <c r="AR37" i="26"/>
  <c r="AS37" i="26"/>
  <c r="AR38" i="26"/>
  <c r="AS38" i="26"/>
  <c r="AC4" i="26"/>
  <c r="AB4" i="26"/>
  <c r="AA4" i="26"/>
  <c r="AG47" i="26" l="1"/>
  <c r="AG46" i="26"/>
  <c r="AF47" i="26"/>
  <c r="AF46" i="26"/>
  <c r="AE47" i="26"/>
  <c r="AE46" i="26"/>
  <c r="AC47" i="26"/>
  <c r="AC46" i="26"/>
  <c r="AB47" i="26"/>
  <c r="AB46" i="26"/>
  <c r="AA47" i="26"/>
  <c r="AA46" i="26"/>
  <c r="I4" i="26"/>
  <c r="H4" i="26"/>
  <c r="G4" i="26"/>
  <c r="E4" i="26"/>
  <c r="D4" i="26"/>
  <c r="C4" i="26"/>
  <c r="K4" i="26"/>
  <c r="E47" i="26" l="1"/>
  <c r="E46" i="26"/>
  <c r="D47" i="26"/>
  <c r="D46" i="26"/>
  <c r="C47" i="26"/>
  <c r="C46" i="26"/>
  <c r="K46" i="26"/>
  <c r="K47" i="26"/>
  <c r="H47" i="26"/>
  <c r="H46" i="26"/>
  <c r="G47" i="26"/>
  <c r="G46" i="26"/>
  <c r="I47" i="26"/>
  <c r="I46" i="26"/>
  <c r="AE48" i="26"/>
  <c r="AE50" i="26" s="1"/>
  <c r="AE51" i="26" s="1"/>
  <c r="AG48" i="26"/>
  <c r="AG50" i="26" s="1"/>
  <c r="AG51" i="26" s="1"/>
  <c r="AF48" i="26"/>
  <c r="AF50" i="26" s="1"/>
  <c r="AF51" i="26" s="1"/>
  <c r="C48" i="26" l="1"/>
  <c r="F4" i="26"/>
  <c r="C3" i="22"/>
  <c r="C45" i="22" s="1"/>
  <c r="I48" i="26"/>
  <c r="I50" i="26" s="1"/>
  <c r="I51" i="26" s="1"/>
  <c r="G48" i="26"/>
  <c r="G50" i="26" s="1"/>
  <c r="G51" i="26" s="1"/>
  <c r="H48" i="26"/>
  <c r="H50" i="26" s="1"/>
  <c r="H51" i="26" s="1"/>
  <c r="C13" i="19"/>
  <c r="D13" i="19"/>
  <c r="E13" i="19"/>
  <c r="C14" i="19"/>
  <c r="D14" i="19"/>
  <c r="E14" i="19"/>
  <c r="C16" i="19"/>
  <c r="D16" i="19"/>
  <c r="E16" i="19"/>
  <c r="F46" i="26" l="1"/>
  <c r="F47" i="26"/>
  <c r="M4" i="26"/>
  <c r="L4" i="26"/>
  <c r="Q4" i="26"/>
  <c r="P4" i="26"/>
  <c r="O4" i="26"/>
  <c r="M47" i="26" l="1"/>
  <c r="M46" i="26"/>
  <c r="L46" i="26"/>
  <c r="L47" i="26"/>
  <c r="Q47" i="26"/>
  <c r="Q46" i="26"/>
  <c r="Q48" i="26" s="1"/>
  <c r="Q50" i="26" s="1"/>
  <c r="Q51" i="26" s="1"/>
  <c r="P47" i="26"/>
  <c r="P46" i="26"/>
  <c r="P48" i="26" s="1"/>
  <c r="P50" i="26" s="1"/>
  <c r="P51" i="26" s="1"/>
  <c r="O47" i="26"/>
  <c r="O46" i="26"/>
  <c r="M48" i="26"/>
  <c r="M50" i="26" s="1"/>
  <c r="M51" i="26" s="1"/>
  <c r="AS4" i="26"/>
  <c r="AR4" i="26"/>
  <c r="AQ4" i="26"/>
  <c r="AO4" i="26"/>
  <c r="AN4" i="26"/>
  <c r="AM4" i="26"/>
  <c r="AJ4" i="26"/>
  <c r="AI4" i="26"/>
  <c r="X4" i="26"/>
  <c r="W4" i="26"/>
  <c r="U4" i="26"/>
  <c r="T4" i="26"/>
  <c r="S4" i="26"/>
  <c r="B1" i="26"/>
  <c r="O48" i="26" l="1"/>
  <c r="O50" i="26" s="1"/>
  <c r="O51" i="26" s="1"/>
  <c r="AQ47" i="26"/>
  <c r="AQ46" i="26"/>
  <c r="AO47" i="26"/>
  <c r="AO46" i="26"/>
  <c r="AN47" i="26"/>
  <c r="AN46" i="26"/>
  <c r="AM47" i="26"/>
  <c r="AM46" i="26"/>
  <c r="AJ47" i="26"/>
  <c r="AJ46" i="26"/>
  <c r="AI47" i="26"/>
  <c r="AI46" i="26"/>
  <c r="X47" i="26"/>
  <c r="X46" i="26"/>
  <c r="W47" i="26"/>
  <c r="W46" i="26"/>
  <c r="U47" i="26"/>
  <c r="U46" i="26"/>
  <c r="T47" i="26"/>
  <c r="T46" i="26"/>
  <c r="S46" i="26"/>
  <c r="S47" i="26"/>
  <c r="AR47" i="26"/>
  <c r="AR46" i="26"/>
  <c r="AS47" i="26"/>
  <c r="AS46" i="26"/>
  <c r="F24" i="19"/>
  <c r="F508" i="19"/>
  <c r="D508" i="19"/>
  <c r="C508" i="19"/>
  <c r="A507" i="19"/>
  <c r="C506" i="19"/>
  <c r="A66" i="19"/>
  <c r="C67" i="19"/>
  <c r="D67" i="19"/>
  <c r="F67" i="19"/>
  <c r="A85" i="19"/>
  <c r="Q39" i="23"/>
  <c r="AR48" i="26" l="1"/>
  <c r="AR50" i="26" s="1"/>
  <c r="AR51" i="26" s="1"/>
  <c r="AM48" i="26"/>
  <c r="AM50" i="26" s="1"/>
  <c r="AM51" i="26" s="1"/>
  <c r="AB48" i="26"/>
  <c r="AB50" i="26" s="1"/>
  <c r="AB51" i="26" s="1"/>
  <c r="W48" i="26"/>
  <c r="W50" i="26" s="1"/>
  <c r="W51" i="26" s="1"/>
  <c r="L48" i="26"/>
  <c r="L50" i="26" s="1"/>
  <c r="L51" i="26" s="1"/>
  <c r="AQ48" i="26"/>
  <c r="AQ50" i="26" s="1"/>
  <c r="AQ51" i="26" s="1"/>
  <c r="AK48" i="26"/>
  <c r="AK50" i="26" s="1"/>
  <c r="AK51" i="26" s="1"/>
  <c r="AA48" i="26"/>
  <c r="AA50" i="26" s="1"/>
  <c r="AA51" i="26" s="1"/>
  <c r="U48" i="26"/>
  <c r="U50" i="26" s="1"/>
  <c r="U51" i="26" s="1"/>
  <c r="K48" i="26"/>
  <c r="K50" i="26" s="1"/>
  <c r="K51" i="26" s="1"/>
  <c r="E48" i="26"/>
  <c r="E50" i="26" s="1"/>
  <c r="E51" i="26" s="1"/>
  <c r="AO48" i="26"/>
  <c r="AO50" i="26" s="1"/>
  <c r="AO51" i="26" s="1"/>
  <c r="AJ48" i="26"/>
  <c r="AJ50" i="26" s="1"/>
  <c r="AJ51" i="26" s="1"/>
  <c r="T48" i="26"/>
  <c r="T50" i="26" s="1"/>
  <c r="T51" i="26" s="1"/>
  <c r="D48" i="26"/>
  <c r="D50" i="26" s="1"/>
  <c r="D51" i="26" s="1"/>
  <c r="AS48" i="26"/>
  <c r="AS50" i="26" s="1"/>
  <c r="AS51" i="26" s="1"/>
  <c r="AN48" i="26"/>
  <c r="AN50" i="26" s="1"/>
  <c r="AN51" i="26" s="1"/>
  <c r="AI48" i="26"/>
  <c r="AI50" i="26" s="1"/>
  <c r="AI51" i="26" s="1"/>
  <c r="AC48" i="26"/>
  <c r="AC50" i="26" s="1"/>
  <c r="AC51" i="26" s="1"/>
  <c r="X48" i="26"/>
  <c r="X50" i="26" s="1"/>
  <c r="X51" i="26" s="1"/>
  <c r="S48" i="26"/>
  <c r="S50" i="26" s="1"/>
  <c r="S51" i="26" s="1"/>
  <c r="C50" i="26"/>
  <c r="C51" i="26" s="1"/>
  <c r="M5" i="32"/>
  <c r="M6" i="32"/>
  <c r="M7" i="32"/>
  <c r="M8" i="32"/>
  <c r="M9" i="32"/>
  <c r="M10" i="32"/>
  <c r="M11" i="32"/>
  <c r="M12" i="32"/>
  <c r="M13" i="32"/>
  <c r="M14" i="32"/>
  <c r="M15" i="32"/>
  <c r="M16" i="32"/>
  <c r="M17" i="32"/>
  <c r="M18" i="32"/>
  <c r="M19" i="32"/>
  <c r="M20" i="32"/>
  <c r="M21" i="32"/>
  <c r="M22" i="32"/>
  <c r="M23" i="32"/>
  <c r="M24" i="32"/>
  <c r="M26" i="32"/>
  <c r="M27" i="32"/>
  <c r="M28" i="32"/>
  <c r="M29" i="32"/>
  <c r="M30" i="32"/>
  <c r="M31" i="32"/>
  <c r="M32" i="32"/>
  <c r="M33" i="32"/>
  <c r="M34" i="32"/>
  <c r="M35" i="32"/>
  <c r="M36" i="32"/>
  <c r="AI5" i="21"/>
  <c r="AH5" i="21"/>
  <c r="AG5" i="21"/>
  <c r="J5" i="32"/>
  <c r="K5" i="32"/>
  <c r="L5" i="32"/>
  <c r="J6" i="32"/>
  <c r="K6" i="32"/>
  <c r="L6" i="32"/>
  <c r="J7" i="32"/>
  <c r="K7" i="32"/>
  <c r="L7" i="32"/>
  <c r="J8" i="32"/>
  <c r="K8" i="32"/>
  <c r="L8" i="32"/>
  <c r="J9" i="32"/>
  <c r="K9" i="32"/>
  <c r="L9" i="32"/>
  <c r="J10" i="32"/>
  <c r="K10" i="32"/>
  <c r="L10" i="32"/>
  <c r="J11" i="32"/>
  <c r="K11" i="32"/>
  <c r="L11" i="32"/>
  <c r="J12" i="32"/>
  <c r="K12" i="32"/>
  <c r="L12" i="32"/>
  <c r="J13" i="32"/>
  <c r="K13" i="32"/>
  <c r="L13" i="32"/>
  <c r="J14" i="32"/>
  <c r="K14" i="32"/>
  <c r="L14" i="32"/>
  <c r="J15" i="32"/>
  <c r="K15" i="32"/>
  <c r="L15" i="32"/>
  <c r="J16" i="32"/>
  <c r="K16" i="32"/>
  <c r="L16" i="32"/>
  <c r="J17" i="32"/>
  <c r="K17" i="32"/>
  <c r="L17" i="32"/>
  <c r="J18" i="32"/>
  <c r="K18" i="32"/>
  <c r="L18" i="32"/>
  <c r="J19" i="32"/>
  <c r="K19" i="32"/>
  <c r="L19" i="32"/>
  <c r="J20" i="32"/>
  <c r="K20" i="32"/>
  <c r="L20" i="32"/>
  <c r="J21" i="32"/>
  <c r="K21" i="32"/>
  <c r="L21" i="32"/>
  <c r="J22" i="32"/>
  <c r="K22" i="32"/>
  <c r="L22" i="32"/>
  <c r="J23" i="32"/>
  <c r="K23" i="32"/>
  <c r="L23" i="32"/>
  <c r="J24" i="32"/>
  <c r="K24" i="32"/>
  <c r="L24" i="32"/>
  <c r="J26" i="32"/>
  <c r="K26" i="32"/>
  <c r="L26" i="32"/>
  <c r="J27" i="32"/>
  <c r="K27" i="32"/>
  <c r="L27" i="32"/>
  <c r="J28" i="32"/>
  <c r="K28" i="32"/>
  <c r="L28" i="32"/>
  <c r="J29" i="32"/>
  <c r="K29" i="32"/>
  <c r="L29" i="32"/>
  <c r="J30" i="32"/>
  <c r="K30" i="32"/>
  <c r="L30" i="32"/>
  <c r="J31" i="32"/>
  <c r="K31" i="32"/>
  <c r="L31" i="32"/>
  <c r="J32" i="32"/>
  <c r="K32" i="32"/>
  <c r="L32" i="32"/>
  <c r="J33" i="32"/>
  <c r="K33" i="32"/>
  <c r="L33" i="32"/>
  <c r="J34" i="32"/>
  <c r="K34" i="32"/>
  <c r="L34" i="32"/>
  <c r="J35" i="32"/>
  <c r="K35" i="32"/>
  <c r="L35" i="32"/>
  <c r="J36" i="32"/>
  <c r="K36" i="32"/>
  <c r="L36" i="32"/>
  <c r="AF5" i="21"/>
  <c r="AE5" i="21"/>
  <c r="AD5" i="21"/>
  <c r="AC5" i="21"/>
  <c r="AB5" i="21"/>
  <c r="AA5" i="21"/>
  <c r="Z5" i="21"/>
  <c r="Y5" i="21"/>
  <c r="X5" i="21"/>
  <c r="H5" i="32"/>
  <c r="I5" i="32"/>
  <c r="H6" i="32"/>
  <c r="I6" i="32"/>
  <c r="H7" i="32"/>
  <c r="I7" i="32"/>
  <c r="H8" i="32"/>
  <c r="I8" i="32"/>
  <c r="H9" i="32"/>
  <c r="I9" i="32"/>
  <c r="H10" i="32"/>
  <c r="I10" i="32"/>
  <c r="H11" i="32"/>
  <c r="I11" i="32"/>
  <c r="H12" i="32"/>
  <c r="I12" i="32"/>
  <c r="H13" i="32"/>
  <c r="I13" i="32"/>
  <c r="H14" i="32"/>
  <c r="I14" i="32"/>
  <c r="H15" i="32"/>
  <c r="I15" i="32"/>
  <c r="H16" i="32"/>
  <c r="I16" i="32"/>
  <c r="H17" i="32"/>
  <c r="I17" i="32"/>
  <c r="H18" i="32"/>
  <c r="I18" i="32"/>
  <c r="H19" i="32"/>
  <c r="I19" i="32"/>
  <c r="H20" i="32"/>
  <c r="I20" i="32"/>
  <c r="H21" i="32"/>
  <c r="I21" i="32"/>
  <c r="H22" i="32"/>
  <c r="I22" i="32"/>
  <c r="H23" i="32"/>
  <c r="I23" i="32"/>
  <c r="H24" i="32"/>
  <c r="I24" i="32"/>
  <c r="H26" i="32"/>
  <c r="I26" i="32"/>
  <c r="H27" i="32"/>
  <c r="I27" i="32"/>
  <c r="H28" i="32"/>
  <c r="I28" i="32"/>
  <c r="H29" i="32"/>
  <c r="I29" i="32"/>
  <c r="H30" i="32"/>
  <c r="I30" i="32"/>
  <c r="H31" i="32"/>
  <c r="I31" i="32"/>
  <c r="H32" i="32"/>
  <c r="I32" i="32"/>
  <c r="H33" i="32"/>
  <c r="I33" i="32"/>
  <c r="H34" i="32"/>
  <c r="I34" i="32"/>
  <c r="H35" i="32"/>
  <c r="I35" i="32"/>
  <c r="H36" i="32"/>
  <c r="I36" i="32"/>
  <c r="W5" i="21"/>
  <c r="V5" i="21"/>
  <c r="U5" i="21"/>
  <c r="T5" i="21"/>
  <c r="S5" i="21"/>
  <c r="R5" i="21"/>
  <c r="G5" i="32"/>
  <c r="G6" i="32"/>
  <c r="G7" i="32"/>
  <c r="G8" i="32"/>
  <c r="G9" i="32"/>
  <c r="G10" i="32"/>
  <c r="G11" i="32"/>
  <c r="G12" i="32"/>
  <c r="G13" i="32"/>
  <c r="G14" i="32"/>
  <c r="G15" i="32"/>
  <c r="G16" i="32"/>
  <c r="G17" i="32"/>
  <c r="G18" i="32"/>
  <c r="G19" i="32"/>
  <c r="G20" i="32"/>
  <c r="G21" i="32"/>
  <c r="G22" i="32"/>
  <c r="G23" i="32"/>
  <c r="G24" i="32"/>
  <c r="G26" i="32"/>
  <c r="G27" i="32"/>
  <c r="G28" i="32"/>
  <c r="G29" i="32"/>
  <c r="G30" i="32"/>
  <c r="G31" i="32"/>
  <c r="G32" i="32"/>
  <c r="G33" i="32"/>
  <c r="G34" i="32"/>
  <c r="G35" i="32"/>
  <c r="G36" i="32"/>
  <c r="Q5" i="21"/>
  <c r="P5" i="21"/>
  <c r="O5" i="21"/>
  <c r="F5" i="32"/>
  <c r="F6" i="32"/>
  <c r="F7" i="32"/>
  <c r="F8" i="32"/>
  <c r="F9" i="32"/>
  <c r="F10" i="32"/>
  <c r="F11" i="32"/>
  <c r="F12" i="32"/>
  <c r="F13" i="32"/>
  <c r="F14" i="32"/>
  <c r="F15" i="32"/>
  <c r="F16" i="32"/>
  <c r="F17" i="32"/>
  <c r="F18" i="32"/>
  <c r="F19" i="32"/>
  <c r="F20" i="32"/>
  <c r="F21" i="32"/>
  <c r="F22" i="32"/>
  <c r="F23" i="32"/>
  <c r="F24" i="32"/>
  <c r="F26" i="32"/>
  <c r="F27" i="32"/>
  <c r="F28" i="32"/>
  <c r="F29" i="32"/>
  <c r="F30" i="32"/>
  <c r="F31" i="32"/>
  <c r="F32" i="32"/>
  <c r="F33" i="32"/>
  <c r="F34" i="32"/>
  <c r="F35" i="32"/>
  <c r="F36" i="32"/>
  <c r="N5" i="21"/>
  <c r="M5" i="21"/>
  <c r="L5" i="21"/>
  <c r="E5" i="32"/>
  <c r="E6" i="32"/>
  <c r="E7" i="32"/>
  <c r="E8" i="32"/>
  <c r="E9" i="32"/>
  <c r="E10" i="32"/>
  <c r="E11" i="32"/>
  <c r="E12" i="32"/>
  <c r="E13" i="32"/>
  <c r="E14" i="32"/>
  <c r="E15" i="32"/>
  <c r="E16" i="32"/>
  <c r="E17" i="32"/>
  <c r="E18" i="32"/>
  <c r="E19" i="32"/>
  <c r="E20" i="32"/>
  <c r="E21" i="32"/>
  <c r="E22" i="32"/>
  <c r="E23" i="32"/>
  <c r="E24" i="32"/>
  <c r="E26" i="32"/>
  <c r="E27" i="32"/>
  <c r="E28" i="32"/>
  <c r="E29" i="32"/>
  <c r="E30" i="32"/>
  <c r="E31" i="32"/>
  <c r="E32" i="32"/>
  <c r="E33" i="32"/>
  <c r="E34" i="32"/>
  <c r="E35" i="32"/>
  <c r="E36" i="32"/>
  <c r="K5" i="21"/>
  <c r="J5" i="21"/>
  <c r="I5" i="21"/>
  <c r="D36" i="32"/>
  <c r="D35" i="32"/>
  <c r="D34" i="32"/>
  <c r="D33" i="32"/>
  <c r="D32" i="32"/>
  <c r="D31" i="32"/>
  <c r="D30" i="32"/>
  <c r="D29" i="32"/>
  <c r="D28" i="32"/>
  <c r="D27" i="32"/>
  <c r="D26" i="32"/>
  <c r="D24" i="32"/>
  <c r="D23" i="32"/>
  <c r="D22" i="32"/>
  <c r="D21" i="32"/>
  <c r="D20" i="32"/>
  <c r="D19" i="32"/>
  <c r="D18" i="32"/>
  <c r="D17" i="32"/>
  <c r="D16" i="32"/>
  <c r="D15" i="32"/>
  <c r="D14" i="32"/>
  <c r="D13" i="32"/>
  <c r="D12" i="32"/>
  <c r="D11" i="32"/>
  <c r="D10" i="32"/>
  <c r="D9" i="32"/>
  <c r="D8" i="32"/>
  <c r="D7" i="32"/>
  <c r="D6" i="32"/>
  <c r="D5" i="32"/>
  <c r="H5" i="21"/>
  <c r="F5" i="21"/>
  <c r="C36" i="32"/>
  <c r="C35" i="32"/>
  <c r="C34" i="32"/>
  <c r="C33" i="32"/>
  <c r="C32" i="32"/>
  <c r="C31" i="32"/>
  <c r="C30" i="32"/>
  <c r="C29" i="32"/>
  <c r="C28" i="32"/>
  <c r="C27" i="32"/>
  <c r="C26" i="32"/>
  <c r="C24" i="32"/>
  <c r="C23" i="32"/>
  <c r="C22" i="32"/>
  <c r="C21" i="32"/>
  <c r="C20" i="32"/>
  <c r="C19" i="32"/>
  <c r="C18" i="32"/>
  <c r="C17" i="32"/>
  <c r="C16" i="32"/>
  <c r="C15" i="32"/>
  <c r="C14" i="32"/>
  <c r="C13" i="32"/>
  <c r="C12" i="32"/>
  <c r="C11" i="32"/>
  <c r="C10" i="32"/>
  <c r="C9" i="32"/>
  <c r="C8" i="32"/>
  <c r="C7" i="32"/>
  <c r="C6" i="32"/>
  <c r="C5" i="32"/>
  <c r="E5" i="21"/>
  <c r="AI47" i="21" l="1"/>
  <c r="AI48" i="21"/>
  <c r="AH48" i="21"/>
  <c r="Z52" i="23" s="1"/>
  <c r="AH47" i="21"/>
  <c r="AG48" i="21"/>
  <c r="AG47" i="21"/>
  <c r="Z15" i="23" s="1"/>
  <c r="AF48" i="21"/>
  <c r="AF47" i="21"/>
  <c r="AE48" i="21"/>
  <c r="AE47" i="21"/>
  <c r="AD48" i="21"/>
  <c r="AD47" i="21"/>
  <c r="AC48" i="21"/>
  <c r="AC47" i="21"/>
  <c r="AB47" i="21"/>
  <c r="AB48" i="21"/>
  <c r="Z50" i="23" s="1"/>
  <c r="AA47" i="21"/>
  <c r="Z13" i="23" s="1"/>
  <c r="AA48" i="21"/>
  <c r="Z48" i="21"/>
  <c r="Z47" i="21"/>
  <c r="Y48" i="21"/>
  <c r="Z49" i="23" s="1"/>
  <c r="Y47" i="21"/>
  <c r="X48" i="21"/>
  <c r="X47" i="21"/>
  <c r="Z12" i="23" s="1"/>
  <c r="W48" i="21"/>
  <c r="W47" i="21"/>
  <c r="V48" i="21"/>
  <c r="Z48" i="23" s="1"/>
  <c r="V47" i="21"/>
  <c r="U48" i="21"/>
  <c r="U47" i="21"/>
  <c r="Z11" i="23" s="1"/>
  <c r="T47" i="21"/>
  <c r="T48" i="21"/>
  <c r="S48" i="21"/>
  <c r="Z47" i="23" s="1"/>
  <c r="S47" i="21"/>
  <c r="R48" i="21"/>
  <c r="R47" i="21"/>
  <c r="Z10" i="23" s="1"/>
  <c r="Q48" i="21"/>
  <c r="Q47" i="21"/>
  <c r="P48" i="21"/>
  <c r="Z46" i="23" s="1"/>
  <c r="P47" i="21"/>
  <c r="O47" i="21"/>
  <c r="Z9" i="23" s="1"/>
  <c r="O48" i="21"/>
  <c r="N48" i="21"/>
  <c r="N47" i="21"/>
  <c r="M48" i="21"/>
  <c r="M47" i="21"/>
  <c r="L47" i="21"/>
  <c r="Z8" i="23" s="1"/>
  <c r="L48" i="21"/>
  <c r="K48" i="21"/>
  <c r="K47" i="21"/>
  <c r="J48" i="21"/>
  <c r="Z44" i="23" s="1"/>
  <c r="J47" i="21"/>
  <c r="I47" i="21"/>
  <c r="Z7" i="23" s="1"/>
  <c r="I48" i="21"/>
  <c r="E47" i="21"/>
  <c r="E48" i="21"/>
  <c r="H48" i="21"/>
  <c r="H47" i="21"/>
  <c r="D4" i="31"/>
  <c r="D46" i="31" s="1"/>
  <c r="F48" i="21"/>
  <c r="F47" i="21"/>
  <c r="Z6" i="23" s="1"/>
  <c r="L4" i="31"/>
  <c r="L46" i="31" s="1"/>
  <c r="L4" i="32"/>
  <c r="L46" i="32" s="1"/>
  <c r="L4" i="29"/>
  <c r="L46" i="29" s="1"/>
  <c r="Z51" i="23"/>
  <c r="K4" i="29"/>
  <c r="K46" i="29" s="1"/>
  <c r="K4" i="31"/>
  <c r="K46" i="31" s="1"/>
  <c r="K4" i="32"/>
  <c r="K46" i="32" s="1"/>
  <c r="J4" i="31"/>
  <c r="J46" i="31" s="1"/>
  <c r="J4" i="32"/>
  <c r="J46" i="32" s="1"/>
  <c r="J4" i="29"/>
  <c r="J46" i="29" s="1"/>
  <c r="I4" i="31"/>
  <c r="I46" i="31" s="1"/>
  <c r="I4" i="29"/>
  <c r="I46" i="29" s="1"/>
  <c r="I4" i="32"/>
  <c r="I46" i="32" s="1"/>
  <c r="H4" i="31"/>
  <c r="H46" i="31" s="1"/>
  <c r="H4" i="32"/>
  <c r="H46" i="32" s="1"/>
  <c r="H4" i="29"/>
  <c r="H46" i="29" s="1"/>
  <c r="G4" i="31"/>
  <c r="G46" i="31" s="1"/>
  <c r="G4" i="29"/>
  <c r="G46" i="29" s="1"/>
  <c r="G4" i="32"/>
  <c r="G46" i="32" s="1"/>
  <c r="F4" i="32"/>
  <c r="F46" i="32" s="1"/>
  <c r="F4" i="29"/>
  <c r="F46" i="29" s="1"/>
  <c r="Z45" i="23"/>
  <c r="F4" i="31"/>
  <c r="F46" i="31" s="1"/>
  <c r="E4" i="31"/>
  <c r="E46" i="31" s="1"/>
  <c r="E4" i="32"/>
  <c r="E46" i="32" s="1"/>
  <c r="E4" i="29"/>
  <c r="E46" i="29" s="1"/>
  <c r="M4" i="32"/>
  <c r="M46" i="32" s="1"/>
  <c r="M4" i="29"/>
  <c r="M46" i="29" s="1"/>
  <c r="M4" i="31"/>
  <c r="M46" i="31" s="1"/>
  <c r="D4" i="32"/>
  <c r="D46" i="32" s="1"/>
  <c r="C4" i="32"/>
  <c r="N36" i="32"/>
  <c r="N32" i="32"/>
  <c r="N28" i="32"/>
  <c r="N23" i="32"/>
  <c r="N19" i="32"/>
  <c r="N15" i="32"/>
  <c r="N11" i="32"/>
  <c r="N7" i="32"/>
  <c r="N34" i="32"/>
  <c r="N30" i="32"/>
  <c r="N26" i="32"/>
  <c r="N21" i="32"/>
  <c r="N17" i="32"/>
  <c r="N13" i="32"/>
  <c r="N9" i="32"/>
  <c r="N5" i="32"/>
  <c r="N35" i="32"/>
  <c r="N31" i="32"/>
  <c r="N27" i="32"/>
  <c r="N22" i="32"/>
  <c r="N18" i="32"/>
  <c r="N14" i="32"/>
  <c r="N10" i="32"/>
  <c r="N6" i="32"/>
  <c r="N33" i="32"/>
  <c r="N29" i="32"/>
  <c r="N24" i="32"/>
  <c r="N20" i="32"/>
  <c r="N16" i="32"/>
  <c r="N12" i="32"/>
  <c r="N8" i="32"/>
  <c r="C5" i="21"/>
  <c r="A125" i="19"/>
  <c r="F46" i="19"/>
  <c r="D46" i="19"/>
  <c r="C46" i="19"/>
  <c r="A45" i="19"/>
  <c r="A26" i="19"/>
  <c r="F27" i="19"/>
  <c r="D27" i="19"/>
  <c r="C27" i="19"/>
  <c r="C9" i="19"/>
  <c r="C48" i="21" l="1"/>
  <c r="C47" i="21"/>
  <c r="N4" i="32"/>
  <c r="N46" i="32" s="1"/>
  <c r="H49" i="21"/>
  <c r="C46" i="32"/>
  <c r="C4" i="31"/>
  <c r="P36" i="32"/>
  <c r="Y52" i="23"/>
  <c r="Y15" i="23"/>
  <c r="Z14" i="23"/>
  <c r="Y14" i="23"/>
  <c r="Y51" i="23"/>
  <c r="AA49" i="21"/>
  <c r="AA51" i="21" s="1"/>
  <c r="Y50" i="23"/>
  <c r="Y13" i="23"/>
  <c r="Y49" i="23"/>
  <c r="Y12" i="23"/>
  <c r="Y48" i="23"/>
  <c r="Y11" i="23"/>
  <c r="Y10" i="23"/>
  <c r="Y47" i="23"/>
  <c r="Y46" i="23"/>
  <c r="Y9" i="23"/>
  <c r="Y45" i="23"/>
  <c r="Y8" i="23"/>
  <c r="I49" i="21"/>
  <c r="I51" i="21" s="1"/>
  <c r="Y7" i="23"/>
  <c r="Y44" i="23"/>
  <c r="Y43" i="23"/>
  <c r="Y6" i="23"/>
  <c r="AI49" i="21"/>
  <c r="AI51" i="21" s="1"/>
  <c r="AI52" i="21" s="1"/>
  <c r="M47" i="32" s="1"/>
  <c r="AG49" i="21"/>
  <c r="AG51" i="21" s="1"/>
  <c r="F49" i="21"/>
  <c r="F51" i="21" s="1"/>
  <c r="U49" i="21"/>
  <c r="U51" i="21" s="1"/>
  <c r="S49" i="21"/>
  <c r="S51" i="21" s="1"/>
  <c r="W49" i="21"/>
  <c r="W51" i="21" s="1"/>
  <c r="W52" i="21" s="1"/>
  <c r="I47" i="32" s="1"/>
  <c r="AC49" i="21"/>
  <c r="AC51" i="21" s="1"/>
  <c r="AC52" i="21" s="1"/>
  <c r="K47" i="32" s="1"/>
  <c r="R49" i="21"/>
  <c r="R51" i="21" s="1"/>
  <c r="T49" i="21"/>
  <c r="T51" i="21" s="1"/>
  <c r="AH49" i="21"/>
  <c r="AH51" i="21" s="1"/>
  <c r="AD49" i="21"/>
  <c r="AD51" i="21" s="1"/>
  <c r="AE49" i="21"/>
  <c r="AE51" i="21" s="1"/>
  <c r="AF49" i="21"/>
  <c r="AF51" i="21" s="1"/>
  <c r="AB49" i="21"/>
  <c r="AB51" i="21" s="1"/>
  <c r="X49" i="21"/>
  <c r="X51" i="21" s="1"/>
  <c r="Y49" i="21"/>
  <c r="Y51" i="21" s="1"/>
  <c r="Z49" i="21"/>
  <c r="Z51" i="21" s="1"/>
  <c r="V49" i="21"/>
  <c r="V51" i="21" s="1"/>
  <c r="O49" i="21"/>
  <c r="O51" i="21" s="1"/>
  <c r="M49" i="21"/>
  <c r="M51" i="21" s="1"/>
  <c r="L49" i="21"/>
  <c r="L51" i="21" s="1"/>
  <c r="N49" i="21"/>
  <c r="N51" i="21" s="1"/>
  <c r="AD4" i="26"/>
  <c r="G3" i="22"/>
  <c r="G45" i="22" s="1"/>
  <c r="N4" i="31" l="1"/>
  <c r="C46" i="31"/>
  <c r="AD47" i="26"/>
  <c r="AD46" i="26"/>
  <c r="E7" i="23"/>
  <c r="E9" i="23"/>
  <c r="E12" i="23"/>
  <c r="E14" i="23"/>
  <c r="E13" i="23"/>
  <c r="E15" i="23"/>
  <c r="E10" i="23"/>
  <c r="E8" i="23"/>
  <c r="F378" i="19"/>
  <c r="F359" i="19"/>
  <c r="F379" i="19"/>
  <c r="F79" i="19"/>
  <c r="F240" i="19"/>
  <c r="F119" i="19"/>
  <c r="F120" i="19"/>
  <c r="F80" i="19"/>
  <c r="F401" i="19"/>
  <c r="P30" i="32"/>
  <c r="P32" i="32"/>
  <c r="P16" i="32"/>
  <c r="P4" i="29"/>
  <c r="P26" i="32"/>
  <c r="P28" i="32"/>
  <c r="P10" i="32"/>
  <c r="P8" i="32"/>
  <c r="P20" i="32"/>
  <c r="P22" i="32"/>
  <c r="P6" i="32"/>
  <c r="P14" i="32"/>
  <c r="P34" i="32"/>
  <c r="P12" i="32"/>
  <c r="P18" i="32"/>
  <c r="P24" i="32"/>
  <c r="J3" i="22"/>
  <c r="J45" i="22" s="1"/>
  <c r="J4" i="24"/>
  <c r="Z5" i="23"/>
  <c r="C49" i="21"/>
  <c r="C51" i="21" s="1"/>
  <c r="AA52" i="21"/>
  <c r="I52" i="21"/>
  <c r="AT4" i="26"/>
  <c r="M3" i="22"/>
  <c r="M45" i="22" s="1"/>
  <c r="AP4" i="26"/>
  <c r="L3" i="22"/>
  <c r="L45" i="22" s="1"/>
  <c r="AL4" i="26"/>
  <c r="K3" i="22"/>
  <c r="K45" i="22" s="1"/>
  <c r="Z4" i="26"/>
  <c r="H3" i="22"/>
  <c r="H45" i="22" s="1"/>
  <c r="R4" i="26"/>
  <c r="F3" i="22"/>
  <c r="F45" i="22" s="1"/>
  <c r="N4" i="26"/>
  <c r="E3" i="22"/>
  <c r="E45" i="22" s="1"/>
  <c r="J4" i="26"/>
  <c r="D3" i="22"/>
  <c r="D45" i="22" s="1"/>
  <c r="Y42" i="23"/>
  <c r="Y5" i="23"/>
  <c r="AT6" i="26"/>
  <c r="AT8" i="26"/>
  <c r="AT10" i="26"/>
  <c r="AT12" i="26"/>
  <c r="AT14" i="26"/>
  <c r="AT16" i="26"/>
  <c r="AT18" i="26"/>
  <c r="AT20" i="26"/>
  <c r="AT22" i="26"/>
  <c r="AT24" i="26"/>
  <c r="AT26" i="26"/>
  <c r="AT28" i="26"/>
  <c r="AT30" i="26"/>
  <c r="AT32" i="26"/>
  <c r="AT34" i="26"/>
  <c r="AT36" i="26"/>
  <c r="AT38" i="26"/>
  <c r="AT5" i="26"/>
  <c r="AT7" i="26"/>
  <c r="AT9" i="26"/>
  <c r="AT11" i="26"/>
  <c r="AT13" i="26"/>
  <c r="AT15" i="26"/>
  <c r="AT17" i="26"/>
  <c r="AT19" i="26"/>
  <c r="AT21" i="26"/>
  <c r="AT23" i="26"/>
  <c r="AT25" i="26"/>
  <c r="AT27" i="26"/>
  <c r="AT29" i="26"/>
  <c r="AT31" i="26"/>
  <c r="AT33" i="26"/>
  <c r="AT35" i="26"/>
  <c r="AT37" i="26"/>
  <c r="AH4" i="26"/>
  <c r="F16" i="19"/>
  <c r="U52" i="21"/>
  <c r="E11" i="23"/>
  <c r="S52" i="21"/>
  <c r="V4" i="26"/>
  <c r="F13" i="19"/>
  <c r="F52" i="21"/>
  <c r="E6" i="23"/>
  <c r="F14" i="19"/>
  <c r="AG52" i="21"/>
  <c r="M47" i="31" s="1"/>
  <c r="M4" i="24"/>
  <c r="F641" i="19"/>
  <c r="L4" i="24"/>
  <c r="F640" i="19"/>
  <c r="K4" i="24"/>
  <c r="F639" i="19"/>
  <c r="F638" i="19"/>
  <c r="I4" i="24"/>
  <c r="F637" i="19"/>
  <c r="H4" i="24"/>
  <c r="F636" i="19"/>
  <c r="G4" i="24"/>
  <c r="F635" i="19"/>
  <c r="F4" i="24"/>
  <c r="F634" i="19"/>
  <c r="E4" i="24"/>
  <c r="F633" i="19"/>
  <c r="D4" i="24"/>
  <c r="F632" i="19"/>
  <c r="C4" i="24"/>
  <c r="F631" i="19"/>
  <c r="R52" i="21"/>
  <c r="T52" i="21"/>
  <c r="H47" i="32" s="1"/>
  <c r="AH52" i="21"/>
  <c r="AF52" i="21"/>
  <c r="L47" i="32" s="1"/>
  <c r="AD52" i="21"/>
  <c r="AE52" i="21"/>
  <c r="AB52" i="21"/>
  <c r="Z52" i="21"/>
  <c r="J47" i="32" s="1"/>
  <c r="X52" i="21"/>
  <c r="Y52" i="21"/>
  <c r="V52" i="21"/>
  <c r="O52" i="21"/>
  <c r="N52" i="21"/>
  <c r="F47" i="32" s="1"/>
  <c r="M52" i="21"/>
  <c r="L52" i="21"/>
  <c r="Q2" i="23"/>
  <c r="Q72" i="23"/>
  <c r="B3" i="24"/>
  <c r="P4" i="32" l="1"/>
  <c r="J47" i="24"/>
  <c r="J46" i="24"/>
  <c r="Z83" i="23" s="1"/>
  <c r="AP47" i="26"/>
  <c r="AP46" i="26"/>
  <c r="AL46" i="26"/>
  <c r="AL47" i="26"/>
  <c r="Z47" i="26"/>
  <c r="Z46" i="26"/>
  <c r="R47" i="26"/>
  <c r="R46" i="26"/>
  <c r="N46" i="26"/>
  <c r="N47" i="26"/>
  <c r="AH47" i="26"/>
  <c r="AH46" i="26"/>
  <c r="V46" i="26"/>
  <c r="V47" i="26"/>
  <c r="M47" i="24"/>
  <c r="Y86" i="23" s="1"/>
  <c r="M46" i="24"/>
  <c r="Z86" i="23" s="1"/>
  <c r="L47" i="24"/>
  <c r="Y85" i="23" s="1"/>
  <c r="L46" i="24"/>
  <c r="Z85" i="23" s="1"/>
  <c r="K47" i="24"/>
  <c r="Y84" i="23" s="1"/>
  <c r="K46" i="24"/>
  <c r="Z84" i="23" s="1"/>
  <c r="I47" i="24"/>
  <c r="Y82" i="23" s="1"/>
  <c r="I46" i="24"/>
  <c r="Z82" i="23" s="1"/>
  <c r="H46" i="24"/>
  <c r="Z81" i="23" s="1"/>
  <c r="H47" i="24"/>
  <c r="Y81" i="23" s="1"/>
  <c r="G46" i="24"/>
  <c r="Z80" i="23" s="1"/>
  <c r="G47" i="24"/>
  <c r="Y80" i="23" s="1"/>
  <c r="F46" i="24"/>
  <c r="Z79" i="23" s="1"/>
  <c r="F47" i="24"/>
  <c r="Y79" i="23" s="1"/>
  <c r="E46" i="24"/>
  <c r="Z78" i="23" s="1"/>
  <c r="E47" i="24"/>
  <c r="Y78" i="23" s="1"/>
  <c r="C46" i="24"/>
  <c r="Z76" i="23" s="1"/>
  <c r="C47" i="24"/>
  <c r="D46" i="24"/>
  <c r="Z77" i="23" s="1"/>
  <c r="D47" i="24"/>
  <c r="Y77" i="23" s="1"/>
  <c r="J47" i="26"/>
  <c r="J46" i="26"/>
  <c r="E5" i="23"/>
  <c r="AT46" i="26"/>
  <c r="AT47" i="26"/>
  <c r="Y83" i="23"/>
  <c r="E52" i="23"/>
  <c r="M47" i="29"/>
  <c r="D51" i="23"/>
  <c r="L47" i="31"/>
  <c r="E51" i="23"/>
  <c r="L47" i="29"/>
  <c r="E50" i="23"/>
  <c r="K47" i="29"/>
  <c r="D50" i="23"/>
  <c r="K47" i="31"/>
  <c r="E48" i="23"/>
  <c r="I47" i="29"/>
  <c r="D48" i="23"/>
  <c r="I47" i="31"/>
  <c r="D47" i="23"/>
  <c r="H47" i="31"/>
  <c r="E47" i="23"/>
  <c r="H47" i="29"/>
  <c r="D46" i="23"/>
  <c r="G47" i="31"/>
  <c r="E45" i="23"/>
  <c r="F47" i="29"/>
  <c r="D45" i="23"/>
  <c r="F47" i="31"/>
  <c r="D44" i="23"/>
  <c r="E47" i="31"/>
  <c r="D43" i="23"/>
  <c r="D47" i="31"/>
  <c r="D49" i="23"/>
  <c r="J47" i="31"/>
  <c r="E49" i="23"/>
  <c r="J47" i="29"/>
  <c r="N3" i="22"/>
  <c r="N45" i="22" s="1"/>
  <c r="D13" i="23"/>
  <c r="D7" i="23"/>
  <c r="D15" i="23"/>
  <c r="D52" i="23"/>
  <c r="D14" i="23"/>
  <c r="D12" i="23"/>
  <c r="D11" i="23"/>
  <c r="D10" i="23"/>
  <c r="D9" i="23"/>
  <c r="D6" i="23"/>
  <c r="D8" i="23"/>
  <c r="C52" i="21"/>
  <c r="Y76" i="23" l="1"/>
  <c r="D42" i="23"/>
  <c r="C47" i="31"/>
  <c r="N47" i="31" s="1"/>
  <c r="Z48" i="26"/>
  <c r="Z50" i="26" s="1"/>
  <c r="Z51" i="26" s="1"/>
  <c r="H46" i="22" s="1"/>
  <c r="F48" i="26"/>
  <c r="F50" i="26" s="1"/>
  <c r="F51" i="26" s="1"/>
  <c r="C46" i="22" s="1"/>
  <c r="AT48" i="26"/>
  <c r="AT50" i="26" s="1"/>
  <c r="AT51" i="26" s="1"/>
  <c r="M46" i="22" s="1"/>
  <c r="AL48" i="26"/>
  <c r="AL50" i="26" s="1"/>
  <c r="AL51" i="26" s="1"/>
  <c r="K46" i="22" s="1"/>
  <c r="N48" i="26"/>
  <c r="N50" i="26" s="1"/>
  <c r="N51" i="26" s="1"/>
  <c r="E46" i="22" s="1"/>
  <c r="AP48" i="26"/>
  <c r="AP50" i="26" s="1"/>
  <c r="AP51" i="26" s="1"/>
  <c r="L46" i="22" s="1"/>
  <c r="AH48" i="26"/>
  <c r="AH50" i="26" s="1"/>
  <c r="AH51" i="26" s="1"/>
  <c r="J46" i="22" s="1"/>
  <c r="AD48" i="26"/>
  <c r="AD50" i="26" s="1"/>
  <c r="AD51" i="26" s="1"/>
  <c r="I46" i="22" s="1"/>
  <c r="V48" i="26"/>
  <c r="V50" i="26" s="1"/>
  <c r="V51" i="26" s="1"/>
  <c r="G46" i="22" s="1"/>
  <c r="J48" i="26"/>
  <c r="J50" i="26" s="1"/>
  <c r="J51" i="26" s="1"/>
  <c r="D46" i="22" s="1"/>
  <c r="D5" i="23"/>
  <c r="R48" i="26"/>
  <c r="R50" i="26" s="1"/>
  <c r="R51" i="26" s="1"/>
  <c r="F46" i="22" s="1"/>
  <c r="C19" i="19"/>
  <c r="C18" i="19"/>
  <c r="C17" i="19"/>
  <c r="C15" i="19"/>
  <c r="C12" i="19"/>
  <c r="C11" i="19"/>
  <c r="C10" i="19"/>
  <c r="N46" i="22" l="1"/>
  <c r="P47" i="32"/>
  <c r="P47" i="29"/>
  <c r="B1" i="22"/>
  <c r="A3" i="22"/>
  <c r="B3" i="22"/>
  <c r="B2" i="21" l="1"/>
  <c r="B5" i="21"/>
  <c r="D89" i="19" l="1"/>
  <c r="E31" i="19"/>
  <c r="E690" i="19"/>
  <c r="E691" i="19"/>
  <c r="E692" i="19"/>
  <c r="E693" i="19"/>
  <c r="E694" i="19"/>
  <c r="E695" i="19"/>
  <c r="E696" i="19"/>
  <c r="E698" i="19"/>
  <c r="E700" i="19"/>
  <c r="E671" i="19"/>
  <c r="E672" i="19"/>
  <c r="E673" i="19"/>
  <c r="E674" i="19"/>
  <c r="E675" i="19"/>
  <c r="E676" i="19"/>
  <c r="E677" i="19"/>
  <c r="E678" i="19"/>
  <c r="E679" i="19"/>
  <c r="E680" i="19"/>
  <c r="E681" i="19"/>
  <c r="E650" i="19"/>
  <c r="E651" i="19"/>
  <c r="E652" i="19"/>
  <c r="E653" i="19"/>
  <c r="E654" i="19"/>
  <c r="E655" i="19"/>
  <c r="E656" i="19"/>
  <c r="E657" i="19"/>
  <c r="E658" i="19"/>
  <c r="E659" i="19"/>
  <c r="E660" i="19"/>
  <c r="E631" i="19"/>
  <c r="E632" i="19"/>
  <c r="E633" i="19"/>
  <c r="E634" i="19"/>
  <c r="E635" i="19"/>
  <c r="E636" i="19"/>
  <c r="E637" i="19"/>
  <c r="E638" i="19"/>
  <c r="E639" i="19"/>
  <c r="E640" i="19"/>
  <c r="E641" i="19"/>
  <c r="E610" i="19"/>
  <c r="E611" i="19"/>
  <c r="E612" i="19"/>
  <c r="E613" i="19"/>
  <c r="E614" i="19"/>
  <c r="E615" i="19"/>
  <c r="E616" i="19"/>
  <c r="E617" i="19"/>
  <c r="E618" i="19"/>
  <c r="E619" i="19"/>
  <c r="E620" i="19"/>
  <c r="E591" i="19"/>
  <c r="E592" i="19"/>
  <c r="E593" i="19"/>
  <c r="E594" i="19"/>
  <c r="E595" i="19"/>
  <c r="E596" i="19"/>
  <c r="E597" i="19"/>
  <c r="E598" i="19"/>
  <c r="E599" i="19"/>
  <c r="E600" i="19"/>
  <c r="E601" i="19"/>
  <c r="E570" i="19"/>
  <c r="E571" i="19"/>
  <c r="E572" i="19"/>
  <c r="E573" i="19"/>
  <c r="E574" i="19"/>
  <c r="E575" i="19"/>
  <c r="E576" i="19"/>
  <c r="E577" i="19"/>
  <c r="E578" i="19"/>
  <c r="E579" i="19"/>
  <c r="E580" i="19"/>
  <c r="E550" i="19"/>
  <c r="E551" i="19"/>
  <c r="E552" i="19"/>
  <c r="E553" i="19"/>
  <c r="E554" i="19"/>
  <c r="E555" i="19"/>
  <c r="E556" i="19"/>
  <c r="E557" i="19"/>
  <c r="E558" i="19"/>
  <c r="E559" i="19"/>
  <c r="E560" i="19"/>
  <c r="E529" i="19"/>
  <c r="E530" i="19"/>
  <c r="E531" i="19"/>
  <c r="E532" i="19"/>
  <c r="E533" i="19"/>
  <c r="E534" i="19"/>
  <c r="E535" i="19"/>
  <c r="E536" i="19"/>
  <c r="E537" i="19"/>
  <c r="E538" i="19"/>
  <c r="E539" i="19"/>
  <c r="E511" i="19"/>
  <c r="E512" i="19"/>
  <c r="E513" i="19"/>
  <c r="E514" i="19"/>
  <c r="E515" i="19"/>
  <c r="E516" i="19"/>
  <c r="E517" i="19"/>
  <c r="E518" i="19"/>
  <c r="E519" i="19"/>
  <c r="E520" i="19"/>
  <c r="E521" i="19"/>
  <c r="E490" i="19"/>
  <c r="E491" i="19"/>
  <c r="E492" i="19"/>
  <c r="E493" i="19"/>
  <c r="E494" i="19"/>
  <c r="E495" i="19"/>
  <c r="E496" i="19"/>
  <c r="E497" i="19"/>
  <c r="E498" i="19"/>
  <c r="E499" i="19"/>
  <c r="E500" i="19"/>
  <c r="E471" i="19"/>
  <c r="E472" i="19"/>
  <c r="E473" i="19"/>
  <c r="E474" i="19"/>
  <c r="E475" i="19"/>
  <c r="E476" i="19"/>
  <c r="E477" i="19"/>
  <c r="E478" i="19"/>
  <c r="E479" i="19"/>
  <c r="E480" i="19"/>
  <c r="E481" i="19"/>
  <c r="E450" i="19"/>
  <c r="E451" i="19"/>
  <c r="E452" i="19"/>
  <c r="E453" i="19"/>
  <c r="E454" i="19"/>
  <c r="E455" i="19"/>
  <c r="E456" i="19"/>
  <c r="E457" i="19"/>
  <c r="E458" i="19"/>
  <c r="E459" i="19"/>
  <c r="E460" i="19"/>
  <c r="E431" i="19"/>
  <c r="E432" i="19"/>
  <c r="E433" i="19"/>
  <c r="E434" i="19"/>
  <c r="E435" i="19"/>
  <c r="E436" i="19"/>
  <c r="E437" i="19"/>
  <c r="E438" i="19"/>
  <c r="E439" i="19"/>
  <c r="E440" i="19"/>
  <c r="E441" i="19"/>
  <c r="E410" i="19"/>
  <c r="E411" i="19"/>
  <c r="E412" i="19"/>
  <c r="E413" i="19"/>
  <c r="E414" i="19"/>
  <c r="E415" i="19"/>
  <c r="E416" i="19"/>
  <c r="E417" i="19"/>
  <c r="E418" i="19"/>
  <c r="E419" i="19"/>
  <c r="E420" i="19"/>
  <c r="E391" i="19"/>
  <c r="E392" i="19"/>
  <c r="E393" i="19"/>
  <c r="E394" i="19"/>
  <c r="E395" i="19"/>
  <c r="E396" i="19"/>
  <c r="E397" i="19"/>
  <c r="E398" i="19"/>
  <c r="E399" i="19"/>
  <c r="E400" i="19"/>
  <c r="E370" i="19"/>
  <c r="E371" i="19"/>
  <c r="E372" i="19"/>
  <c r="E373" i="19"/>
  <c r="E374" i="19"/>
  <c r="E375" i="19"/>
  <c r="E376" i="19"/>
  <c r="E377" i="19"/>
  <c r="E380" i="19"/>
  <c r="E351" i="19"/>
  <c r="E352" i="19"/>
  <c r="E353" i="19"/>
  <c r="E354" i="19"/>
  <c r="E355" i="19"/>
  <c r="E356" i="19"/>
  <c r="E357" i="19"/>
  <c r="E358" i="19"/>
  <c r="E360" i="19"/>
  <c r="E361" i="19"/>
  <c r="E330" i="19"/>
  <c r="E331" i="19"/>
  <c r="E332" i="19"/>
  <c r="E333" i="19"/>
  <c r="E334" i="19"/>
  <c r="E335" i="19"/>
  <c r="E336" i="19"/>
  <c r="E337" i="19"/>
  <c r="E338" i="19"/>
  <c r="E339" i="19"/>
  <c r="E340" i="19"/>
  <c r="E311" i="19"/>
  <c r="E312" i="19"/>
  <c r="E313" i="19"/>
  <c r="E314" i="19"/>
  <c r="E315" i="19"/>
  <c r="E316" i="19"/>
  <c r="E317" i="19"/>
  <c r="E318" i="19"/>
  <c r="E319" i="19"/>
  <c r="E320" i="19"/>
  <c r="E321" i="19"/>
  <c r="E290" i="19" l="1"/>
  <c r="E291" i="19"/>
  <c r="E292" i="19"/>
  <c r="E293" i="19"/>
  <c r="E294" i="19"/>
  <c r="E295" i="19"/>
  <c r="E296" i="19"/>
  <c r="E297" i="19"/>
  <c r="E298" i="19"/>
  <c r="E299" i="19"/>
  <c r="E300" i="19"/>
  <c r="E271" i="19"/>
  <c r="E272" i="19"/>
  <c r="E273" i="19"/>
  <c r="E274" i="19"/>
  <c r="E275" i="19"/>
  <c r="E276" i="19"/>
  <c r="E277" i="19"/>
  <c r="E278" i="19"/>
  <c r="E279" i="19"/>
  <c r="E280" i="19"/>
  <c r="E281" i="19"/>
  <c r="E250" i="19"/>
  <c r="E251" i="19"/>
  <c r="E252" i="19"/>
  <c r="E253" i="19"/>
  <c r="E254" i="19"/>
  <c r="E255" i="19"/>
  <c r="E256" i="19"/>
  <c r="E257" i="19"/>
  <c r="E258" i="19"/>
  <c r="E259" i="19"/>
  <c r="E260" i="19"/>
  <c r="E231" i="19"/>
  <c r="E232" i="19"/>
  <c r="E233" i="19"/>
  <c r="E234" i="19"/>
  <c r="E235" i="19"/>
  <c r="E236" i="19"/>
  <c r="E237" i="19"/>
  <c r="E238" i="19"/>
  <c r="E239" i="19"/>
  <c r="E241" i="19"/>
  <c r="E210" i="19"/>
  <c r="E211" i="19"/>
  <c r="E212" i="19"/>
  <c r="E213" i="19"/>
  <c r="E214" i="19"/>
  <c r="E215" i="19"/>
  <c r="E216" i="19"/>
  <c r="E217" i="19"/>
  <c r="E218" i="19"/>
  <c r="E219" i="19"/>
  <c r="E220" i="19"/>
  <c r="E191" i="19"/>
  <c r="E192" i="19"/>
  <c r="E193" i="19"/>
  <c r="E194" i="19"/>
  <c r="E195" i="19"/>
  <c r="E196" i="19"/>
  <c r="E197" i="19"/>
  <c r="E198" i="19"/>
  <c r="E199" i="19"/>
  <c r="E200" i="19"/>
  <c r="E201" i="19"/>
  <c r="E170" i="19"/>
  <c r="E171" i="19"/>
  <c r="E172" i="19"/>
  <c r="E173" i="19"/>
  <c r="E174" i="19"/>
  <c r="E175" i="19"/>
  <c r="E176" i="19"/>
  <c r="E177" i="19"/>
  <c r="E178" i="19"/>
  <c r="E179" i="19"/>
  <c r="E180" i="19"/>
  <c r="E150" i="19"/>
  <c r="E151" i="19"/>
  <c r="E152" i="19"/>
  <c r="E153" i="19"/>
  <c r="E154" i="19"/>
  <c r="E155" i="19"/>
  <c r="E156" i="19"/>
  <c r="E157" i="19"/>
  <c r="E158" i="19"/>
  <c r="E159" i="19"/>
  <c r="E160" i="19"/>
  <c r="E129" i="19"/>
  <c r="E130" i="19"/>
  <c r="E131" i="19"/>
  <c r="E132" i="19"/>
  <c r="E133" i="19"/>
  <c r="E134" i="19"/>
  <c r="E135" i="19"/>
  <c r="E136" i="19"/>
  <c r="E137" i="19"/>
  <c r="E138" i="19"/>
  <c r="E139" i="19"/>
  <c r="E111" i="19"/>
  <c r="E110" i="19" l="1"/>
  <c r="E112" i="19"/>
  <c r="E113" i="19"/>
  <c r="E114" i="19"/>
  <c r="E115" i="19"/>
  <c r="E116" i="19"/>
  <c r="E117" i="19"/>
  <c r="E118" i="19"/>
  <c r="E96" i="19"/>
  <c r="E89" i="19"/>
  <c r="E90" i="19"/>
  <c r="E91" i="19"/>
  <c r="E92" i="19"/>
  <c r="E93" i="19"/>
  <c r="E94" i="19"/>
  <c r="E95" i="19"/>
  <c r="E97" i="19"/>
  <c r="E98" i="19"/>
  <c r="E99" i="19"/>
  <c r="E70" i="19"/>
  <c r="E71" i="19"/>
  <c r="E72" i="19"/>
  <c r="E73" i="19"/>
  <c r="E74" i="19"/>
  <c r="E75" i="19"/>
  <c r="E76" i="19"/>
  <c r="E77" i="19"/>
  <c r="E78" i="19"/>
  <c r="E55" i="19"/>
  <c r="E56" i="19"/>
  <c r="E57" i="19"/>
  <c r="E58" i="19"/>
  <c r="E59" i="19"/>
  <c r="E38" i="19"/>
  <c r="E39" i="19"/>
  <c r="E40" i="19"/>
  <c r="E36" i="19"/>
  <c r="E37" i="19"/>
  <c r="E35" i="19"/>
  <c r="E34" i="19"/>
  <c r="E33" i="19"/>
  <c r="E32" i="19"/>
  <c r="E30" i="19"/>
  <c r="E19" i="19"/>
  <c r="E18" i="19"/>
  <c r="E15" i="19"/>
  <c r="E12" i="19"/>
  <c r="E11" i="19"/>
  <c r="E10" i="19"/>
  <c r="E9" i="19"/>
  <c r="D70" i="19" l="1"/>
  <c r="D30" i="19"/>
  <c r="D9" i="19"/>
  <c r="D5" i="21"/>
  <c r="D48" i="21" l="1"/>
  <c r="D47" i="21"/>
  <c r="C4" i="29"/>
  <c r="C46" i="29" s="1"/>
  <c r="C1" i="20"/>
  <c r="D1" i="20"/>
  <c r="E2" i="20"/>
  <c r="B3" i="20"/>
  <c r="C3" i="20"/>
  <c r="B5" i="20"/>
  <c r="C5" i="20"/>
  <c r="F746" i="19"/>
  <c r="F684" i="19"/>
  <c r="F665" i="19"/>
  <c r="F644" i="19"/>
  <c r="F625" i="19"/>
  <c r="F604" i="19"/>
  <c r="F585" i="19"/>
  <c r="F564" i="19"/>
  <c r="F544" i="19"/>
  <c r="F524" i="19"/>
  <c r="F505" i="19"/>
  <c r="F465" i="19"/>
  <c r="F444" i="19"/>
  <c r="F425" i="19"/>
  <c r="F404" i="19"/>
  <c r="F385" i="19"/>
  <c r="F364" i="19"/>
  <c r="F345" i="19"/>
  <c r="F324" i="19"/>
  <c r="F305" i="19"/>
  <c r="F284" i="19"/>
  <c r="F265" i="19"/>
  <c r="F244" i="19"/>
  <c r="F225" i="19"/>
  <c r="F204" i="19"/>
  <c r="F185" i="19"/>
  <c r="F164" i="19"/>
  <c r="F144" i="19"/>
  <c r="F104" i="19"/>
  <c r="F64" i="19"/>
  <c r="A325" i="19"/>
  <c r="C325" i="19"/>
  <c r="A165" i="19"/>
  <c r="C165" i="19"/>
  <c r="A166" i="19"/>
  <c r="A145" i="19"/>
  <c r="C145" i="19"/>
  <c r="A146" i="19"/>
  <c r="A747" i="19"/>
  <c r="A685" i="19"/>
  <c r="A666" i="19"/>
  <c r="A645" i="19"/>
  <c r="A626" i="19"/>
  <c r="A605" i="19"/>
  <c r="A586" i="19"/>
  <c r="A565" i="19"/>
  <c r="A545" i="19"/>
  <c r="A525" i="19"/>
  <c r="A506" i="19"/>
  <c r="A485" i="19"/>
  <c r="A466" i="19"/>
  <c r="A445" i="19"/>
  <c r="A426" i="19"/>
  <c r="A405" i="19"/>
  <c r="A386" i="19"/>
  <c r="A365" i="19"/>
  <c r="A346" i="19"/>
  <c r="A306" i="19"/>
  <c r="A285" i="19"/>
  <c r="A266" i="19"/>
  <c r="A245" i="19"/>
  <c r="A226" i="19"/>
  <c r="A205" i="19"/>
  <c r="A186" i="19"/>
  <c r="A124" i="19"/>
  <c r="A105" i="19"/>
  <c r="A84" i="19"/>
  <c r="A65" i="19"/>
  <c r="A44" i="19"/>
  <c r="A25" i="19"/>
  <c r="A4" i="19"/>
  <c r="A5" i="19"/>
  <c r="D107" i="19"/>
  <c r="D147" i="19"/>
  <c r="D167" i="19"/>
  <c r="D188" i="19"/>
  <c r="D207" i="19"/>
  <c r="D228" i="19"/>
  <c r="D247" i="19"/>
  <c r="D268" i="19"/>
  <c r="D287" i="19"/>
  <c r="D308" i="19"/>
  <c r="D327" i="19"/>
  <c r="D348" i="19"/>
  <c r="D367" i="19"/>
  <c r="D388" i="19"/>
  <c r="D407" i="19"/>
  <c r="D428" i="19"/>
  <c r="D447" i="19"/>
  <c r="D468" i="19"/>
  <c r="D487" i="19"/>
  <c r="D526" i="19"/>
  <c r="D547" i="19"/>
  <c r="D567" i="19"/>
  <c r="D588" i="19"/>
  <c r="D607" i="19"/>
  <c r="D628" i="19"/>
  <c r="D647" i="19"/>
  <c r="D668" i="19"/>
  <c r="D687" i="19"/>
  <c r="F107" i="19"/>
  <c r="F147" i="19"/>
  <c r="F167" i="19"/>
  <c r="F188" i="19"/>
  <c r="F207" i="19"/>
  <c r="F228" i="19"/>
  <c r="F247" i="19"/>
  <c r="F268" i="19"/>
  <c r="F287" i="19"/>
  <c r="F308" i="19"/>
  <c r="F327" i="19"/>
  <c r="F348" i="19"/>
  <c r="F367" i="19"/>
  <c r="F388" i="19"/>
  <c r="F407" i="19"/>
  <c r="F428" i="19"/>
  <c r="F447" i="19"/>
  <c r="F468" i="19"/>
  <c r="F487" i="19"/>
  <c r="F526" i="19"/>
  <c r="F547" i="19"/>
  <c r="F567" i="19"/>
  <c r="F588" i="19"/>
  <c r="F607" i="19"/>
  <c r="F628" i="19"/>
  <c r="F647" i="19"/>
  <c r="F668" i="19"/>
  <c r="F687" i="19"/>
  <c r="F6" i="19"/>
  <c r="C107" i="19"/>
  <c r="C147" i="19"/>
  <c r="C167" i="19"/>
  <c r="C188" i="19"/>
  <c r="C207" i="19"/>
  <c r="C228" i="19"/>
  <c r="C247" i="19"/>
  <c r="C268" i="19"/>
  <c r="C287" i="19"/>
  <c r="C308" i="19"/>
  <c r="C327" i="19"/>
  <c r="C348" i="19"/>
  <c r="C367" i="19"/>
  <c r="C388" i="19"/>
  <c r="C407" i="19"/>
  <c r="C428" i="19"/>
  <c r="C447" i="19"/>
  <c r="C468" i="19"/>
  <c r="C487" i="19"/>
  <c r="C526" i="19"/>
  <c r="C547" i="19"/>
  <c r="C567" i="19"/>
  <c r="C588" i="19"/>
  <c r="C607" i="19"/>
  <c r="C628" i="19"/>
  <c r="C647" i="19"/>
  <c r="C668" i="19"/>
  <c r="C687" i="19"/>
  <c r="D6" i="19"/>
  <c r="C6" i="19"/>
  <c r="C685" i="19"/>
  <c r="C666" i="19"/>
  <c r="C645" i="19"/>
  <c r="C626" i="19"/>
  <c r="C605" i="19"/>
  <c r="C586" i="19"/>
  <c r="C565" i="19"/>
  <c r="C545" i="19"/>
  <c r="C525" i="19"/>
  <c r="C485" i="19"/>
  <c r="C466" i="19"/>
  <c r="C445" i="19"/>
  <c r="C426" i="19"/>
  <c r="C405" i="19"/>
  <c r="C386" i="19"/>
  <c r="C365" i="19"/>
  <c r="C346" i="19"/>
  <c r="C306" i="19"/>
  <c r="C285" i="19"/>
  <c r="C266" i="19"/>
  <c r="C245" i="19"/>
  <c r="C226" i="19"/>
  <c r="C205" i="19"/>
  <c r="C186" i="19"/>
  <c r="C105" i="19"/>
  <c r="C65" i="19"/>
  <c r="C44" i="19"/>
  <c r="C25" i="19"/>
  <c r="C4" i="19"/>
  <c r="A106" i="19"/>
  <c r="A187" i="19"/>
  <c r="A206" i="19"/>
  <c r="A227" i="19"/>
  <c r="A246" i="19"/>
  <c r="A267" i="19"/>
  <c r="A286" i="19"/>
  <c r="A307" i="19"/>
  <c r="A326" i="19"/>
  <c r="A347" i="19"/>
  <c r="A366" i="19"/>
  <c r="A387" i="19"/>
  <c r="A406" i="19"/>
  <c r="A427" i="19"/>
  <c r="A446" i="19"/>
  <c r="A467" i="19"/>
  <c r="A486" i="19"/>
  <c r="A546" i="19"/>
  <c r="A566" i="19"/>
  <c r="A587" i="19"/>
  <c r="A606" i="19"/>
  <c r="A627" i="19"/>
  <c r="A646" i="19"/>
  <c r="A667" i="19"/>
  <c r="A686" i="19"/>
  <c r="B6" i="7"/>
  <c r="B7" i="7"/>
  <c r="B8" i="7"/>
  <c r="B9" i="7"/>
  <c r="B6" i="15"/>
  <c r="A6" i="15"/>
  <c r="B2" i="15"/>
  <c r="B2" i="14"/>
  <c r="A8" i="12"/>
  <c r="A7" i="12"/>
  <c r="B2" i="12"/>
  <c r="A12" i="11"/>
  <c r="A11" i="11"/>
  <c r="A10" i="11"/>
  <c r="B9" i="11"/>
  <c r="A9" i="11"/>
  <c r="B8" i="11"/>
  <c r="A8" i="11"/>
  <c r="B7" i="11"/>
  <c r="A7" i="11"/>
  <c r="B6" i="11"/>
  <c r="A6" i="11"/>
  <c r="B2" i="11"/>
  <c r="A8" i="8"/>
  <c r="A7" i="8"/>
  <c r="B2" i="8"/>
  <c r="B10" i="7"/>
  <c r="A9" i="7"/>
  <c r="A8" i="7"/>
  <c r="A7" i="7"/>
  <c r="A6" i="7"/>
  <c r="B2" i="7"/>
  <c r="B6" i="6"/>
  <c r="A6" i="6"/>
  <c r="B2" i="6"/>
  <c r="B6" i="4"/>
  <c r="A6" i="4"/>
  <c r="B2" i="4"/>
  <c r="A8" i="3"/>
  <c r="A7" i="3"/>
  <c r="B2" i="3"/>
  <c r="A8" i="2"/>
  <c r="A7" i="2"/>
  <c r="F150" i="19" l="1"/>
  <c r="F191" i="19"/>
  <c r="F231" i="19"/>
  <c r="F271" i="19"/>
  <c r="F311" i="19"/>
  <c r="F351" i="19"/>
  <c r="F391" i="19"/>
  <c r="F431" i="19"/>
  <c r="F471" i="19"/>
  <c r="F511" i="19"/>
  <c r="F550" i="19"/>
  <c r="F591" i="19"/>
  <c r="F671" i="19"/>
  <c r="F170" i="19"/>
  <c r="F210" i="19"/>
  <c r="F250" i="19"/>
  <c r="F290" i="19"/>
  <c r="F330" i="19"/>
  <c r="F370" i="19"/>
  <c r="F410" i="19"/>
  <c r="F450" i="19"/>
  <c r="F490" i="19"/>
  <c r="F529" i="19"/>
  <c r="F570" i="19"/>
  <c r="F610" i="19"/>
  <c r="F650" i="19"/>
  <c r="F690" i="19"/>
  <c r="F40" i="19"/>
  <c r="F201" i="19"/>
  <c r="F241" i="19"/>
  <c r="F281" i="19"/>
  <c r="F321" i="19"/>
  <c r="F361" i="19"/>
  <c r="F441" i="19"/>
  <c r="F481" i="19"/>
  <c r="F521" i="19"/>
  <c r="F560" i="19"/>
  <c r="F601" i="19"/>
  <c r="F681" i="19"/>
  <c r="F59" i="19"/>
  <c r="F99" i="19"/>
  <c r="F139" i="19"/>
  <c r="F180" i="19"/>
  <c r="F220" i="19"/>
  <c r="F260" i="19"/>
  <c r="F300" i="19"/>
  <c r="F340" i="19"/>
  <c r="F380" i="19"/>
  <c r="F420" i="19"/>
  <c r="F460" i="19"/>
  <c r="F500" i="19"/>
  <c r="F539" i="19"/>
  <c r="F580" i="19"/>
  <c r="F620" i="19"/>
  <c r="F660" i="19"/>
  <c r="F700" i="19"/>
  <c r="D160" i="19"/>
  <c r="D201" i="19"/>
  <c r="D241" i="19"/>
  <c r="D281" i="19"/>
  <c r="D321" i="19"/>
  <c r="D361" i="19"/>
  <c r="D441" i="19"/>
  <c r="D481" i="19"/>
  <c r="D521" i="19"/>
  <c r="D560" i="19"/>
  <c r="D601" i="19"/>
  <c r="D641" i="19"/>
  <c r="D681" i="19"/>
  <c r="D19" i="19"/>
  <c r="D59" i="19"/>
  <c r="D99" i="19"/>
  <c r="D139" i="19"/>
  <c r="D180" i="19"/>
  <c r="D220" i="19"/>
  <c r="D260" i="19"/>
  <c r="D300" i="19"/>
  <c r="D340" i="19"/>
  <c r="D380" i="19"/>
  <c r="D420" i="19"/>
  <c r="D460" i="19"/>
  <c r="D500" i="19"/>
  <c r="D539" i="19"/>
  <c r="D580" i="19"/>
  <c r="D620" i="19"/>
  <c r="D660" i="19"/>
  <c r="D700" i="19"/>
  <c r="F58" i="19"/>
  <c r="F98" i="19"/>
  <c r="F138" i="19"/>
  <c r="F179" i="19"/>
  <c r="F219" i="19"/>
  <c r="F259" i="19"/>
  <c r="F299" i="19"/>
  <c r="F339" i="19"/>
  <c r="F419" i="19"/>
  <c r="F459" i="19"/>
  <c r="F499" i="19"/>
  <c r="F538" i="19"/>
  <c r="F579" i="19"/>
  <c r="F619" i="19"/>
  <c r="F659" i="19"/>
  <c r="F39" i="19"/>
  <c r="F159" i="19"/>
  <c r="F200" i="19"/>
  <c r="F280" i="19"/>
  <c r="F320" i="19"/>
  <c r="F360" i="19"/>
  <c r="F400" i="19"/>
  <c r="F440" i="19"/>
  <c r="F480" i="19"/>
  <c r="F520" i="19"/>
  <c r="F559" i="19"/>
  <c r="F600" i="19"/>
  <c r="F680" i="19"/>
  <c r="D18" i="19"/>
  <c r="D58" i="19"/>
  <c r="D98" i="19"/>
  <c r="D138" i="19"/>
  <c r="D179" i="19"/>
  <c r="D219" i="19"/>
  <c r="D259" i="19"/>
  <c r="D299" i="19"/>
  <c r="D339" i="19"/>
  <c r="D419" i="19"/>
  <c r="D459" i="19"/>
  <c r="D499" i="19"/>
  <c r="D538" i="19"/>
  <c r="D579" i="19"/>
  <c r="D619" i="19"/>
  <c r="D659" i="19"/>
  <c r="D159" i="19"/>
  <c r="D200" i="19"/>
  <c r="D280" i="19"/>
  <c r="D320" i="19"/>
  <c r="D360" i="19"/>
  <c r="D400" i="19"/>
  <c r="D440" i="19"/>
  <c r="D480" i="19"/>
  <c r="D520" i="19"/>
  <c r="D559" i="19"/>
  <c r="D600" i="19"/>
  <c r="D640" i="19"/>
  <c r="D680" i="19"/>
  <c r="F38" i="19"/>
  <c r="F78" i="19"/>
  <c r="F118" i="19"/>
  <c r="F158" i="19"/>
  <c r="F199" i="19"/>
  <c r="F239" i="19"/>
  <c r="F279" i="19"/>
  <c r="F319" i="19"/>
  <c r="F399" i="19"/>
  <c r="F439" i="19"/>
  <c r="F479" i="19"/>
  <c r="F519" i="19"/>
  <c r="F558" i="19"/>
  <c r="F599" i="19"/>
  <c r="F679" i="19"/>
  <c r="F57" i="19"/>
  <c r="F97" i="19"/>
  <c r="F137" i="19"/>
  <c r="F178" i="19"/>
  <c r="F218" i="19"/>
  <c r="F258" i="19"/>
  <c r="F298" i="19"/>
  <c r="F338" i="19"/>
  <c r="F418" i="19"/>
  <c r="F458" i="19"/>
  <c r="F498" i="19"/>
  <c r="F537" i="19"/>
  <c r="F578" i="19"/>
  <c r="F618" i="19"/>
  <c r="F658" i="19"/>
  <c r="F698" i="19"/>
  <c r="D38" i="19"/>
  <c r="D78" i="19"/>
  <c r="D118" i="19"/>
  <c r="D158" i="19"/>
  <c r="D199" i="19"/>
  <c r="D239" i="19"/>
  <c r="D279" i="19"/>
  <c r="D319" i="19"/>
  <c r="D399" i="19"/>
  <c r="D439" i="19"/>
  <c r="D479" i="19"/>
  <c r="D519" i="19"/>
  <c r="D558" i="19"/>
  <c r="D599" i="19"/>
  <c r="D639" i="19"/>
  <c r="D679" i="19"/>
  <c r="D17" i="19"/>
  <c r="D57" i="19"/>
  <c r="D97" i="19"/>
  <c r="D137" i="19"/>
  <c r="D178" i="19"/>
  <c r="D218" i="19"/>
  <c r="D258" i="19"/>
  <c r="D298" i="19"/>
  <c r="D338" i="19"/>
  <c r="D418" i="19"/>
  <c r="D458" i="19"/>
  <c r="D498" i="19"/>
  <c r="D537" i="19"/>
  <c r="D578" i="19"/>
  <c r="D618" i="19"/>
  <c r="D658" i="19"/>
  <c r="D698" i="19"/>
  <c r="F56" i="19"/>
  <c r="F96" i="19"/>
  <c r="F136" i="19"/>
  <c r="F177" i="19"/>
  <c r="F217" i="19"/>
  <c r="F257" i="19"/>
  <c r="F297" i="19"/>
  <c r="F337" i="19"/>
  <c r="F377" i="19"/>
  <c r="F417" i="19"/>
  <c r="F457" i="19"/>
  <c r="F497" i="19"/>
  <c r="F536" i="19"/>
  <c r="F577" i="19"/>
  <c r="F617" i="19"/>
  <c r="F657" i="19"/>
  <c r="F37" i="19"/>
  <c r="F77" i="19"/>
  <c r="F117" i="19"/>
  <c r="F157" i="19"/>
  <c r="F198" i="19"/>
  <c r="F238" i="19"/>
  <c r="F278" i="19"/>
  <c r="F318" i="19"/>
  <c r="F358" i="19"/>
  <c r="F398" i="19"/>
  <c r="F438" i="19"/>
  <c r="F478" i="19"/>
  <c r="F518" i="19"/>
  <c r="F557" i="19"/>
  <c r="F598" i="19"/>
  <c r="F678" i="19"/>
  <c r="D56" i="19"/>
  <c r="D96" i="19"/>
  <c r="D136" i="19"/>
  <c r="D177" i="19"/>
  <c r="D217" i="19"/>
  <c r="D257" i="19"/>
  <c r="D297" i="19"/>
  <c r="D337" i="19"/>
  <c r="D377" i="19"/>
  <c r="D417" i="19"/>
  <c r="D457" i="19"/>
  <c r="D497" i="19"/>
  <c r="D536" i="19"/>
  <c r="D577" i="19"/>
  <c r="D617" i="19"/>
  <c r="D657" i="19"/>
  <c r="D77" i="19"/>
  <c r="D117" i="19"/>
  <c r="D157" i="19"/>
  <c r="D198" i="19"/>
  <c r="D238" i="19"/>
  <c r="D278" i="19"/>
  <c r="D318" i="19"/>
  <c r="D358" i="19"/>
  <c r="D398" i="19"/>
  <c r="D438" i="19"/>
  <c r="D478" i="19"/>
  <c r="D518" i="19"/>
  <c r="D557" i="19"/>
  <c r="D598" i="19"/>
  <c r="D638" i="19"/>
  <c r="D678" i="19"/>
  <c r="F76" i="19"/>
  <c r="F116" i="19"/>
  <c r="F156" i="19"/>
  <c r="F197" i="19"/>
  <c r="F237" i="19"/>
  <c r="F277" i="19"/>
  <c r="F317" i="19"/>
  <c r="F357" i="19"/>
  <c r="F397" i="19"/>
  <c r="F437" i="19"/>
  <c r="F477" i="19"/>
  <c r="F517" i="19"/>
  <c r="F556" i="19"/>
  <c r="F597" i="19"/>
  <c r="F677" i="19"/>
  <c r="F55" i="19"/>
  <c r="F95" i="19"/>
  <c r="F135" i="19"/>
  <c r="F176" i="19"/>
  <c r="F216" i="19"/>
  <c r="F256" i="19"/>
  <c r="F296" i="19"/>
  <c r="F336" i="19"/>
  <c r="F376" i="19"/>
  <c r="F416" i="19"/>
  <c r="F456" i="19"/>
  <c r="F496" i="19"/>
  <c r="F535" i="19"/>
  <c r="F576" i="19"/>
  <c r="F616" i="19"/>
  <c r="F656" i="19"/>
  <c r="F696" i="19"/>
  <c r="F94" i="19"/>
  <c r="F134" i="19"/>
  <c r="F175" i="19"/>
  <c r="F215" i="19"/>
  <c r="F255" i="19"/>
  <c r="F295" i="19"/>
  <c r="F335" i="19"/>
  <c r="F375" i="19"/>
  <c r="F415" i="19"/>
  <c r="F455" i="19"/>
  <c r="F495" i="19"/>
  <c r="F534" i="19"/>
  <c r="F575" i="19"/>
  <c r="F615" i="19"/>
  <c r="F655" i="19"/>
  <c r="F695" i="19"/>
  <c r="F35" i="19"/>
  <c r="F75" i="19"/>
  <c r="F115" i="19"/>
  <c r="F155" i="19"/>
  <c r="F196" i="19"/>
  <c r="F236" i="19"/>
  <c r="F276" i="19"/>
  <c r="F316" i="19"/>
  <c r="F356" i="19"/>
  <c r="F396" i="19"/>
  <c r="F436" i="19"/>
  <c r="F476" i="19"/>
  <c r="F516" i="19"/>
  <c r="F555" i="19"/>
  <c r="F596" i="19"/>
  <c r="F676" i="19"/>
  <c r="D94" i="19"/>
  <c r="D134" i="19"/>
  <c r="D175" i="19"/>
  <c r="D215" i="19"/>
  <c r="D255" i="19"/>
  <c r="D295" i="19"/>
  <c r="D335" i="19"/>
  <c r="D375" i="19"/>
  <c r="D415" i="19"/>
  <c r="D455" i="19"/>
  <c r="D495" i="19"/>
  <c r="D534" i="19"/>
  <c r="D575" i="19"/>
  <c r="D615" i="19"/>
  <c r="D655" i="19"/>
  <c r="D695" i="19"/>
  <c r="D75" i="19"/>
  <c r="D115" i="19"/>
  <c r="D155" i="19"/>
  <c r="D196" i="19"/>
  <c r="D236" i="19"/>
  <c r="D276" i="19"/>
  <c r="D316" i="19"/>
  <c r="D356" i="19"/>
  <c r="D396" i="19"/>
  <c r="D436" i="19"/>
  <c r="D476" i="19"/>
  <c r="D516" i="19"/>
  <c r="D555" i="19"/>
  <c r="D596" i="19"/>
  <c r="D636" i="19"/>
  <c r="D676" i="19"/>
  <c r="F74" i="19"/>
  <c r="F114" i="19"/>
  <c r="F195" i="19"/>
  <c r="F235" i="19"/>
  <c r="F275" i="19"/>
  <c r="F315" i="19"/>
  <c r="F355" i="19"/>
  <c r="F395" i="19"/>
  <c r="F435" i="19"/>
  <c r="F475" i="19"/>
  <c r="F515" i="19"/>
  <c r="F554" i="19"/>
  <c r="F595" i="19"/>
  <c r="F675" i="19"/>
  <c r="F93" i="19"/>
  <c r="F133" i="19"/>
  <c r="F174" i="19"/>
  <c r="F214" i="19"/>
  <c r="F254" i="19"/>
  <c r="F294" i="19"/>
  <c r="F334" i="19"/>
  <c r="F374" i="19"/>
  <c r="F414" i="19"/>
  <c r="F454" i="19"/>
  <c r="F494" i="19"/>
  <c r="F533" i="19"/>
  <c r="F574" i="19"/>
  <c r="F614" i="19"/>
  <c r="F654" i="19"/>
  <c r="F694" i="19"/>
  <c r="D74" i="19"/>
  <c r="D114" i="19"/>
  <c r="D154" i="19"/>
  <c r="D195" i="19"/>
  <c r="D235" i="19"/>
  <c r="D275" i="19"/>
  <c r="D315" i="19"/>
  <c r="D355" i="19"/>
  <c r="D395" i="19"/>
  <c r="D435" i="19"/>
  <c r="D475" i="19"/>
  <c r="D515" i="19"/>
  <c r="D554" i="19"/>
  <c r="D595" i="19"/>
  <c r="D635" i="19"/>
  <c r="D675" i="19"/>
  <c r="D93" i="19"/>
  <c r="D133" i="19"/>
  <c r="D174" i="19"/>
  <c r="D214" i="19"/>
  <c r="D254" i="19"/>
  <c r="D294" i="19"/>
  <c r="D334" i="19"/>
  <c r="D374" i="19"/>
  <c r="D414" i="19"/>
  <c r="D454" i="19"/>
  <c r="D494" i="19"/>
  <c r="D533" i="19"/>
  <c r="D574" i="19"/>
  <c r="D614" i="19"/>
  <c r="D654" i="19"/>
  <c r="D694" i="19"/>
  <c r="F12" i="19"/>
  <c r="F92" i="19"/>
  <c r="F132" i="19"/>
  <c r="F173" i="19"/>
  <c r="F213" i="19"/>
  <c r="F253" i="19"/>
  <c r="F293" i="19"/>
  <c r="F333" i="19"/>
  <c r="F373" i="19"/>
  <c r="F413" i="19"/>
  <c r="F453" i="19"/>
  <c r="F493" i="19"/>
  <c r="F532" i="19"/>
  <c r="F573" i="19"/>
  <c r="F613" i="19"/>
  <c r="F653" i="19"/>
  <c r="F693" i="19"/>
  <c r="F33" i="19"/>
  <c r="F73" i="19"/>
  <c r="F113" i="19"/>
  <c r="F153" i="19"/>
  <c r="F194" i="19"/>
  <c r="F234" i="19"/>
  <c r="F274" i="19"/>
  <c r="F314" i="19"/>
  <c r="F354" i="19"/>
  <c r="F394" i="19"/>
  <c r="F434" i="19"/>
  <c r="F474" i="19"/>
  <c r="F514" i="19"/>
  <c r="F553" i="19"/>
  <c r="F594" i="19"/>
  <c r="F674" i="19"/>
  <c r="D12" i="19"/>
  <c r="D92" i="19"/>
  <c r="D132" i="19"/>
  <c r="D173" i="19"/>
  <c r="D213" i="19"/>
  <c r="D253" i="19"/>
  <c r="D293" i="19"/>
  <c r="D333" i="19"/>
  <c r="D373" i="19"/>
  <c r="D413" i="19"/>
  <c r="D453" i="19"/>
  <c r="D493" i="19"/>
  <c r="D532" i="19"/>
  <c r="D573" i="19"/>
  <c r="D613" i="19"/>
  <c r="D653" i="19"/>
  <c r="D693" i="19"/>
  <c r="D73" i="19"/>
  <c r="D113" i="19"/>
  <c r="D153" i="19"/>
  <c r="D194" i="19"/>
  <c r="D234" i="19"/>
  <c r="D274" i="19"/>
  <c r="D314" i="19"/>
  <c r="D354" i="19"/>
  <c r="D394" i="19"/>
  <c r="D434" i="19"/>
  <c r="D474" i="19"/>
  <c r="D514" i="19"/>
  <c r="D553" i="19"/>
  <c r="D594" i="19"/>
  <c r="D634" i="19"/>
  <c r="D674" i="19"/>
  <c r="F32" i="19"/>
  <c r="F72" i="19"/>
  <c r="F112" i="19"/>
  <c r="F152" i="19"/>
  <c r="F193" i="19"/>
  <c r="F233" i="19"/>
  <c r="F273" i="19"/>
  <c r="F313" i="19"/>
  <c r="F353" i="19"/>
  <c r="F393" i="19"/>
  <c r="F433" i="19"/>
  <c r="F473" i="19"/>
  <c r="F513" i="19"/>
  <c r="F552" i="19"/>
  <c r="F593" i="19"/>
  <c r="F673" i="19"/>
  <c r="F91" i="19"/>
  <c r="F131" i="19"/>
  <c r="F172" i="19"/>
  <c r="F212" i="19"/>
  <c r="F252" i="19"/>
  <c r="F332" i="19"/>
  <c r="F372" i="19"/>
  <c r="F412" i="19"/>
  <c r="F452" i="19"/>
  <c r="F492" i="19"/>
  <c r="F531" i="19"/>
  <c r="F572" i="19"/>
  <c r="F612" i="19"/>
  <c r="F652" i="19"/>
  <c r="F692" i="19"/>
  <c r="D72" i="19"/>
  <c r="D112" i="19"/>
  <c r="D152" i="19"/>
  <c r="D193" i="19"/>
  <c r="D233" i="19"/>
  <c r="D273" i="19"/>
  <c r="D313" i="19"/>
  <c r="D353" i="19"/>
  <c r="D393" i="19"/>
  <c r="D433" i="19"/>
  <c r="D473" i="19"/>
  <c r="D513" i="19"/>
  <c r="D552" i="19"/>
  <c r="D593" i="19"/>
  <c r="D633" i="19"/>
  <c r="D673" i="19"/>
  <c r="D11" i="19"/>
  <c r="D91" i="19"/>
  <c r="D131" i="19"/>
  <c r="D172" i="19"/>
  <c r="D212" i="19"/>
  <c r="D252" i="19"/>
  <c r="D292" i="19"/>
  <c r="D332" i="19"/>
  <c r="D372" i="19"/>
  <c r="D412" i="19"/>
  <c r="D452" i="19"/>
  <c r="D492" i="19"/>
  <c r="D531" i="19"/>
  <c r="D572" i="19"/>
  <c r="D612" i="19"/>
  <c r="D652" i="19"/>
  <c r="D692" i="19"/>
  <c r="D671" i="19"/>
  <c r="D129" i="19"/>
  <c r="D170" i="19"/>
  <c r="D210" i="19"/>
  <c r="D250" i="19"/>
  <c r="D290" i="19"/>
  <c r="D330" i="19"/>
  <c r="D370" i="19"/>
  <c r="D410" i="19"/>
  <c r="D450" i="19"/>
  <c r="D490" i="19"/>
  <c r="D529" i="19"/>
  <c r="D570" i="19"/>
  <c r="D610" i="19"/>
  <c r="D650" i="19"/>
  <c r="F90" i="19"/>
  <c r="F130" i="19"/>
  <c r="F171" i="19"/>
  <c r="F211" i="19"/>
  <c r="F251" i="19"/>
  <c r="F291" i="19"/>
  <c r="F331" i="19"/>
  <c r="F371" i="19"/>
  <c r="F411" i="19"/>
  <c r="F451" i="19"/>
  <c r="F491" i="19"/>
  <c r="F530" i="19"/>
  <c r="F571" i="19"/>
  <c r="F611" i="19"/>
  <c r="F651" i="19"/>
  <c r="F691" i="19"/>
  <c r="F31" i="19"/>
  <c r="F71" i="19"/>
  <c r="F111" i="19"/>
  <c r="F151" i="19"/>
  <c r="F192" i="19"/>
  <c r="F232" i="19"/>
  <c r="F272" i="19"/>
  <c r="F312" i="19"/>
  <c r="F352" i="19"/>
  <c r="F392" i="19"/>
  <c r="F432" i="19"/>
  <c r="F472" i="19"/>
  <c r="F512" i="19"/>
  <c r="F551" i="19"/>
  <c r="F592" i="19"/>
  <c r="F672" i="19"/>
  <c r="D90" i="19"/>
  <c r="D130" i="19"/>
  <c r="D171" i="19"/>
  <c r="D211" i="19"/>
  <c r="D251" i="19"/>
  <c r="D291" i="19"/>
  <c r="D331" i="19"/>
  <c r="D371" i="19"/>
  <c r="D411" i="19"/>
  <c r="D451" i="19"/>
  <c r="D491" i="19"/>
  <c r="D530" i="19"/>
  <c r="D571" i="19"/>
  <c r="D611" i="19"/>
  <c r="D651" i="19"/>
  <c r="D691" i="19"/>
  <c r="D71" i="19"/>
  <c r="D111" i="19"/>
  <c r="D151" i="19"/>
  <c r="D192" i="19"/>
  <c r="D232" i="19"/>
  <c r="D272" i="19"/>
  <c r="D312" i="19"/>
  <c r="D352" i="19"/>
  <c r="D392" i="19"/>
  <c r="D432" i="19"/>
  <c r="D472" i="19"/>
  <c r="D512" i="19"/>
  <c r="D551" i="19"/>
  <c r="D592" i="19"/>
  <c r="D632" i="19"/>
  <c r="D672" i="19"/>
  <c r="D10" i="19"/>
  <c r="F36" i="19"/>
  <c r="D33" i="19"/>
  <c r="D40" i="19"/>
  <c r="D39" i="19"/>
  <c r="D37" i="19"/>
  <c r="D35" i="19"/>
  <c r="D34" i="19"/>
  <c r="D32" i="19"/>
  <c r="D31" i="19"/>
  <c r="D76" i="19"/>
  <c r="D116" i="19"/>
  <c r="D156" i="19"/>
  <c r="D197" i="19"/>
  <c r="D237" i="19"/>
  <c r="D277" i="19"/>
  <c r="D317" i="19"/>
  <c r="D357" i="19"/>
  <c r="D397" i="19"/>
  <c r="D437" i="19"/>
  <c r="D477" i="19"/>
  <c r="D517" i="19"/>
  <c r="D556" i="19"/>
  <c r="D597" i="19"/>
  <c r="D637" i="19"/>
  <c r="D677" i="19"/>
  <c r="D55" i="19"/>
  <c r="D95" i="19"/>
  <c r="D135" i="19"/>
  <c r="D176" i="19"/>
  <c r="D216" i="19"/>
  <c r="D256" i="19"/>
  <c r="D296" i="19"/>
  <c r="D336" i="19"/>
  <c r="D376" i="19"/>
  <c r="D416" i="19"/>
  <c r="D456" i="19"/>
  <c r="D496" i="19"/>
  <c r="D535" i="19"/>
  <c r="D576" i="19"/>
  <c r="D616" i="19"/>
  <c r="D656" i="19"/>
  <c r="D696" i="19"/>
  <c r="D36" i="19"/>
  <c r="D15" i="19"/>
  <c r="D110" i="19"/>
  <c r="D191" i="19"/>
  <c r="D231" i="19"/>
  <c r="D271" i="19"/>
  <c r="D311" i="19"/>
  <c r="D351" i="19"/>
  <c r="D391" i="19"/>
  <c r="D431" i="19"/>
  <c r="D471" i="19"/>
  <c r="D511" i="19"/>
  <c r="D550" i="19"/>
  <c r="D591" i="19"/>
  <c r="D631" i="19"/>
  <c r="D690" i="19"/>
  <c r="F160" i="19"/>
  <c r="F154" i="19"/>
  <c r="D150" i="19"/>
  <c r="Q6" i="32"/>
  <c r="Q8" i="32"/>
  <c r="F19" i="19"/>
  <c r="F18" i="19"/>
  <c r="F17" i="19"/>
  <c r="F34" i="19"/>
  <c r="F15" i="19"/>
  <c r="F11" i="19"/>
  <c r="F10" i="19"/>
  <c r="G5" i="21"/>
  <c r="F292" i="19"/>
  <c r="F30" i="19"/>
  <c r="F89" i="19"/>
  <c r="F129" i="19"/>
  <c r="F70" i="19"/>
  <c r="F110" i="19"/>
  <c r="G48" i="21" l="1"/>
  <c r="Z43" i="23" s="1"/>
  <c r="G47" i="21"/>
  <c r="D4" i="29"/>
  <c r="Z42" i="23"/>
  <c r="Q36" i="32"/>
  <c r="Q7" i="32"/>
  <c r="Q30" i="32"/>
  <c r="Q32" i="32"/>
  <c r="Q28" i="32"/>
  <c r="Q24" i="32"/>
  <c r="Q16" i="32"/>
  <c r="Q12" i="32"/>
  <c r="Q34" i="32"/>
  <c r="Q26" i="32"/>
  <c r="Q22" i="32"/>
  <c r="Q18" i="32"/>
  <c r="Q14" i="32"/>
  <c r="Q10" i="32"/>
  <c r="Q20" i="32"/>
  <c r="N4" i="29" l="1"/>
  <c r="D46" i="29"/>
  <c r="G49" i="21"/>
  <c r="G51" i="21" s="1"/>
  <c r="Q5" i="32"/>
  <c r="Q35" i="32"/>
  <c r="P33" i="32"/>
  <c r="P35" i="32"/>
  <c r="P7" i="32"/>
  <c r="Q11" i="32"/>
  <c r="Q9" i="32"/>
  <c r="Q15" i="32"/>
  <c r="Q17" i="32"/>
  <c r="Q27" i="32"/>
  <c r="Q29" i="32"/>
  <c r="Q21" i="32"/>
  <c r="Q13" i="32"/>
  <c r="Q23" i="32"/>
  <c r="Q19" i="32"/>
  <c r="Q33" i="32"/>
  <c r="Q31" i="32"/>
  <c r="I5" i="20"/>
  <c r="F48" i="24"/>
  <c r="F50" i="24" s="1"/>
  <c r="H48" i="24"/>
  <c r="H50" i="24" s="1"/>
  <c r="E81" i="23" s="1"/>
  <c r="I48" i="24"/>
  <c r="I50" i="24" s="1"/>
  <c r="E82" i="23" s="1"/>
  <c r="J48" i="24"/>
  <c r="J50" i="24" s="1"/>
  <c r="E83" i="23" s="1"/>
  <c r="K48" i="24"/>
  <c r="K50" i="24" s="1"/>
  <c r="E84" i="23" s="1"/>
  <c r="L48" i="24"/>
  <c r="L50" i="24" s="1"/>
  <c r="E85" i="23" s="1"/>
  <c r="M48" i="24"/>
  <c r="M50" i="24" s="1"/>
  <c r="E86" i="23" s="1"/>
  <c r="G48" i="24"/>
  <c r="G50" i="24" s="1"/>
  <c r="E80" i="23" s="1"/>
  <c r="D48" i="24"/>
  <c r="D50" i="24" s="1"/>
  <c r="E77" i="23" s="1"/>
  <c r="D49" i="21"/>
  <c r="D51" i="21" s="1"/>
  <c r="E49" i="21"/>
  <c r="E51" i="21" s="1"/>
  <c r="P49" i="21"/>
  <c r="P51" i="21" s="1"/>
  <c r="Q49" i="21"/>
  <c r="Q51" i="21" s="1"/>
  <c r="K49" i="21"/>
  <c r="K51" i="21" s="1"/>
  <c r="J49" i="21"/>
  <c r="J51" i="21" s="1"/>
  <c r="H51" i="21"/>
  <c r="Q4" i="32" l="1"/>
  <c r="N46" i="29"/>
  <c r="Q46" i="32" s="1"/>
  <c r="P15" i="32"/>
  <c r="P29" i="32"/>
  <c r="P21" i="32"/>
  <c r="P13" i="32"/>
  <c r="P11" i="32"/>
  <c r="P27" i="32"/>
  <c r="P23" i="32"/>
  <c r="P19" i="32"/>
  <c r="P31" i="32"/>
  <c r="P9" i="32"/>
  <c r="P5" i="32"/>
  <c r="P17" i="32"/>
  <c r="F51" i="24"/>
  <c r="D79" i="23" s="1"/>
  <c r="E79" i="23"/>
  <c r="D52" i="21"/>
  <c r="E52" i="21"/>
  <c r="C47" i="32" s="1"/>
  <c r="Q52" i="21"/>
  <c r="G47" i="32" s="1"/>
  <c r="P52" i="21"/>
  <c r="K52" i="21"/>
  <c r="E47" i="32" s="1"/>
  <c r="J52" i="21"/>
  <c r="H52" i="21"/>
  <c r="G52" i="21"/>
  <c r="I51" i="24"/>
  <c r="D82" i="23" s="1"/>
  <c r="M51" i="24"/>
  <c r="D86" i="23" s="1"/>
  <c r="L51" i="24"/>
  <c r="D85" i="23" s="1"/>
  <c r="K51" i="24"/>
  <c r="D84" i="23" s="1"/>
  <c r="J51" i="24"/>
  <c r="D83" i="23" s="1"/>
  <c r="H51" i="24"/>
  <c r="D81" i="23" s="1"/>
  <c r="E48" i="24"/>
  <c r="E50" i="24" s="1"/>
  <c r="E78" i="23" s="1"/>
  <c r="G51" i="24"/>
  <c r="D80" i="23" s="1"/>
  <c r="D51" i="24"/>
  <c r="D77" i="23" s="1"/>
  <c r="P46" i="29" l="1"/>
  <c r="P46" i="32"/>
  <c r="E46" i="23"/>
  <c r="G47" i="29"/>
  <c r="E44" i="23"/>
  <c r="E47" i="29"/>
  <c r="E43" i="23"/>
  <c r="D47" i="29"/>
  <c r="E42" i="23"/>
  <c r="C47" i="29"/>
  <c r="E51" i="24"/>
  <c r="D78" i="23" s="1"/>
  <c r="F9" i="19"/>
  <c r="N47" i="29" l="1"/>
  <c r="Q47" i="32" s="1"/>
  <c r="N47" i="32"/>
  <c r="C48" i="24"/>
  <c r="C50" i="24" s="1"/>
  <c r="E76" i="23" l="1"/>
  <c r="O50" i="24"/>
  <c r="C51" i="24"/>
  <c r="D76" i="23" l="1"/>
  <c r="O51" i="24"/>
</calcChain>
</file>

<file path=xl/sharedStrings.xml><?xml version="1.0" encoding="utf-8"?>
<sst xmlns="http://schemas.openxmlformats.org/spreadsheetml/2006/main" count="1661" uniqueCount="149">
  <si>
    <t>Nº</t>
  </si>
  <si>
    <t>APELLIDOS Y NOMBRES</t>
  </si>
  <si>
    <t>FECHA DE</t>
  </si>
  <si>
    <t>C.I.</t>
  </si>
  <si>
    <t>NACIMIENTO</t>
  </si>
  <si>
    <t>GENERO</t>
  </si>
  <si>
    <t xml:space="preserve">          </t>
  </si>
  <si>
    <t>C. I.</t>
  </si>
  <si>
    <t>MATEMATICAS</t>
  </si>
  <si>
    <t>FECHA DE NACIMIENTO</t>
  </si>
  <si>
    <t>INGLES</t>
  </si>
  <si>
    <t>ARTES PLASTICAS</t>
  </si>
  <si>
    <t>,</t>
  </si>
  <si>
    <t>PROMEDIO</t>
  </si>
  <si>
    <t>MAT</t>
  </si>
  <si>
    <t>LEN</t>
  </si>
  <si>
    <t>ING</t>
  </si>
  <si>
    <t>E. FIS</t>
  </si>
  <si>
    <t>MUS</t>
  </si>
  <si>
    <t>REL</t>
  </si>
  <si>
    <t>NOMINA</t>
  </si>
  <si>
    <t>aprobados</t>
  </si>
  <si>
    <t>reprobados</t>
  </si>
  <si>
    <t>E. FIS.</t>
  </si>
  <si>
    <t>APR.</t>
  </si>
  <si>
    <t>REP.</t>
  </si>
  <si>
    <t xml:space="preserve">GRÁFICO DEL ESTADO DEL CURSO </t>
  </si>
  <si>
    <t>SUMA</t>
  </si>
  <si>
    <t>PORCENTAJE REPROBADOS</t>
  </si>
  <si>
    <t>PORCENTAJE APROBADOS</t>
  </si>
  <si>
    <t>P.ANUAL</t>
  </si>
  <si>
    <t>P. ANUAL</t>
  </si>
  <si>
    <t>PRO. ANUAL</t>
  </si>
  <si>
    <t>CUANT.</t>
  </si>
  <si>
    <t>P.TOTAL</t>
  </si>
  <si>
    <t>Campos de saberes</t>
  </si>
  <si>
    <t>LENGUAJE</t>
  </si>
  <si>
    <t>Areas           curriculares</t>
  </si>
  <si>
    <t>PROM. ANUAL</t>
  </si>
  <si>
    <t>COSMOS Y PENSAMIENTO</t>
  </si>
  <si>
    <t>A. PL.</t>
  </si>
  <si>
    <t>E.FIS</t>
  </si>
  <si>
    <t>BOLETIN DE NOTAS</t>
  </si>
  <si>
    <t>ED. FÍSICA</t>
  </si>
  <si>
    <t>MÚSICA</t>
  </si>
  <si>
    <t>COMUNIDAD   Y      SOCIEDAD</t>
  </si>
  <si>
    <t>PROMEDIO ANUAL</t>
  </si>
  <si>
    <t xml:space="preserve"> </t>
  </si>
  <si>
    <t>BIO-GEO</t>
  </si>
  <si>
    <t>1°bim</t>
  </si>
  <si>
    <t>2°bim</t>
  </si>
  <si>
    <t>0  REPROBADOS</t>
  </si>
  <si>
    <t>CIENCIAS SOCIALES</t>
  </si>
  <si>
    <t>ART. PLÁSTICAS</t>
  </si>
  <si>
    <t>PSICOLOGÍA</t>
  </si>
  <si>
    <t>RELIGIONES</t>
  </si>
  <si>
    <t>C. SOC.</t>
  </si>
  <si>
    <t>PSI</t>
  </si>
  <si>
    <t>C. SOCIALES</t>
  </si>
  <si>
    <t>E. FÍSICA</t>
  </si>
  <si>
    <t>A. PLÁSTICAS</t>
  </si>
  <si>
    <t>C SOCIALES</t>
  </si>
  <si>
    <t>MATEMÁTICAS</t>
  </si>
  <si>
    <t>BIOL. -GEOGRAFÍA</t>
  </si>
  <si>
    <t>CIENCIA TEC   Y PRODUCCIÓN</t>
  </si>
  <si>
    <t>RELIGION</t>
  </si>
  <si>
    <t>C.SOC</t>
  </si>
  <si>
    <t>A.PL.</t>
  </si>
  <si>
    <t>C. SOC</t>
  </si>
  <si>
    <t>NOTAS MENORES A 51</t>
  </si>
  <si>
    <t>C</t>
  </si>
  <si>
    <t>Porcentaje</t>
  </si>
  <si>
    <t>N° de estudiantes</t>
  </si>
  <si>
    <t>TOTAL</t>
  </si>
  <si>
    <t>TOTAL  REPROBADOS</t>
  </si>
  <si>
    <t>OBSERV</t>
  </si>
  <si>
    <t>N° de estudiantes repr.</t>
  </si>
  <si>
    <t>1er bim.</t>
  </si>
  <si>
    <t>2° bim.</t>
  </si>
  <si>
    <t>VIDA TIERRA Y TERRITORIO</t>
  </si>
  <si>
    <t>OBSERV.</t>
  </si>
  <si>
    <t>1er. TRIM.</t>
  </si>
  <si>
    <t>2do. TRIM.</t>
  </si>
  <si>
    <t>3er. TRIM.</t>
  </si>
  <si>
    <t>1er.TRIM</t>
  </si>
  <si>
    <t xml:space="preserve">1erTrim. </t>
  </si>
  <si>
    <t>2doTrim.</t>
  </si>
  <si>
    <t>3er Trim.</t>
  </si>
  <si>
    <t>PROM       1° Y 2° trim.</t>
  </si>
  <si>
    <t>1er  Trim.</t>
  </si>
  <si>
    <t>2do Trim.</t>
  </si>
  <si>
    <t>1er.Trim</t>
  </si>
  <si>
    <t>2do. Trim</t>
  </si>
  <si>
    <t>PRIMER TRMESTRE</t>
  </si>
  <si>
    <t>SEGUNDO TRIMESTRE</t>
  </si>
  <si>
    <t>GRÁFICO COMPARATIVO ENTRE 1er. y 2doTRIM</t>
  </si>
  <si>
    <t>CENTRALIZADOR TRIMESTRAL</t>
  </si>
  <si>
    <t>ED. MÚSICAL</t>
  </si>
  <si>
    <t>PSICOLOGÍA -FILOSOFÍA</t>
  </si>
  <si>
    <t>TÉCNICA  TECNOLÓGICA  GENERAL</t>
  </si>
  <si>
    <t>BIOLOGÍA - GEOGRAFÍA</t>
  </si>
  <si>
    <t>T. TEC. GENERAL</t>
  </si>
  <si>
    <t>T.TEC.GRAL.</t>
  </si>
  <si>
    <t>BIO -GEO</t>
  </si>
  <si>
    <t>T. TEC. G</t>
  </si>
  <si>
    <t>T. TEC.G.</t>
  </si>
  <si>
    <t>T.T.G</t>
  </si>
  <si>
    <t>B.GEO</t>
  </si>
  <si>
    <t>U. E. ABAROA B</t>
  </si>
  <si>
    <t>GESTION: 2026</t>
  </si>
  <si>
    <t>CURSO 2A</t>
  </si>
  <si>
    <t>ABREU MARRERO LIZ DANIELA</t>
  </si>
  <si>
    <t>ALIAGA SAAVEDRA MARCU MAURICIO</t>
  </si>
  <si>
    <t>ANTEZANA CACHI JOSE MAXWEL</t>
  </si>
  <si>
    <t>ARIZACA SALGUERO SANTIAGO</t>
  </si>
  <si>
    <t>BAUTISTA GARCIA ALISON LUCIANA</t>
  </si>
  <si>
    <t>BOLIVAR REVOLLO NIVARDO ADOLFO</t>
  </si>
  <si>
    <t>CADIMA SOLIZ NICOLAS</t>
  </si>
  <si>
    <t>CALLE PEREZ ANDREA BELEN</t>
  </si>
  <si>
    <t>CHAVEZ AMURRIO SEBASTIAN FABIAN</t>
  </si>
  <si>
    <t>CHOQUE ARISPE YURIANA LUCIA</t>
  </si>
  <si>
    <t>CHOQUE PERALTA JHOEL ELIAZAR</t>
  </si>
  <si>
    <t>COPA RIVERO MARCIA MARCELA</t>
  </si>
  <si>
    <t>CORIA URUÑO CHRISTOPER GABRIEL</t>
  </si>
  <si>
    <t>FLORES BALLESTEROS LEANDRO FRANK</t>
  </si>
  <si>
    <t>GONZALES MOLINA ARIANET BELEN</t>
  </si>
  <si>
    <t>GUAQUIPA BECERRA NICOLAS ALEX</t>
  </si>
  <si>
    <t>HUANQUIRI MAMANI JHOSMAR</t>
  </si>
  <si>
    <t>JOVE ARNEZ ANDREA LUCIANA</t>
  </si>
  <si>
    <t>LAFUENTE ORTUÑO VICTORIA VALENTINA</t>
  </si>
  <si>
    <t>MAGNANI CANAVIRI JOSUE JHONATHAN</t>
  </si>
  <si>
    <t>MERUVIA GUTIERREZ ASHLY SCARLETT</t>
  </si>
  <si>
    <t>MONTAÑO QUILO BENJAMIN GONZALO</t>
  </si>
  <si>
    <t>PANIAGUA VARGAS KEYLA</t>
  </si>
  <si>
    <t>PATZI GUARACHI MARIA BELEN</t>
  </si>
  <si>
    <t>QUENALLATA CESPEDES LUMAIDA YANISS</t>
  </si>
  <si>
    <t>QUISPE ESCARZA CIELO</t>
  </si>
  <si>
    <t>QUISPE MILAN ADRIAN ANTHONY</t>
  </si>
  <si>
    <t>ROMAN TITO MATEO</t>
  </si>
  <si>
    <t xml:space="preserve">SILES MAMANI JUSTIN ANGEL </t>
  </si>
  <si>
    <t>TERAN COCA DIEGO NICOLAS</t>
  </si>
  <si>
    <t>URIA LOPEZ SEBASTIAN ARIEL</t>
  </si>
  <si>
    <t>VASQUEZ ESPINOZA JHONATAN YAYCOB</t>
  </si>
  <si>
    <t>VEIZAGA LEDEZMA SEBASTIAN</t>
  </si>
  <si>
    <t>VILLARROEL CUCHILLO HUGO SEBASTIAN</t>
  </si>
  <si>
    <t>ZAMBRANA MENDEZ MIRCO ALEXANDER</t>
  </si>
  <si>
    <t>Promedio</t>
  </si>
  <si>
    <t>PORCENTAJE REPROBADOS X MATERIA</t>
  </si>
  <si>
    <t>TOTAL MATERIAS  REPROBADAS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</si>
</sst>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 &quot;€&quot;_-;\-* #,##0.00\ &quot;€&quot;_-;_-* &quot;-&quot;??\ &quot;€&quot;_-;_-@_-"/>
    <numFmt numFmtId="165" formatCode="[$-C0A]d\-mmm\-yy;@"/>
    <numFmt numFmtId="166" formatCode="[$-C0A]d\-mmm\-yyyy;@"/>
  </numFmts>
  <fonts count="68">
    <font>
      <sz val="11"/>
      <color theme="1"/>
      <name val="Calibri"/>
      <family val="2"/>
      <scheme val="minor"/>
    </font>
    <font>
      <sz val="10"/>
      <name val="Arial"/>
      <family val="2"/>
    </font>
    <font>
      <sz val="10"/>
      <name val="Arial"/>
      <family val="2"/>
    </font>
    <font>
      <b/>
      <sz val="10"/>
      <name val="Arial"/>
      <family val="2"/>
    </font>
    <font>
      <sz val="10"/>
      <color rgb="FF00B050"/>
      <name val="Arial"/>
      <family val="2"/>
    </font>
    <font>
      <b/>
      <sz val="9"/>
      <name val="Arial"/>
      <family val="2"/>
    </font>
    <font>
      <b/>
      <i/>
      <sz val="11"/>
      <name val="Century Gothic"/>
      <family val="2"/>
    </font>
    <font>
      <b/>
      <i/>
      <sz val="10"/>
      <color indexed="18"/>
      <name val="Arial"/>
      <family val="2"/>
    </font>
    <font>
      <b/>
      <sz val="7"/>
      <name val="Arial"/>
      <family val="2"/>
    </font>
    <font>
      <b/>
      <sz val="8"/>
      <name val="Arial"/>
      <family val="2"/>
    </font>
    <font>
      <b/>
      <sz val="11"/>
      <color theme="1"/>
      <name val="Calibri"/>
      <family val="2"/>
      <scheme val="minor"/>
    </font>
    <font>
      <sz val="11"/>
      <name val="Arial"/>
      <family val="2"/>
    </font>
    <font>
      <sz val="11"/>
      <name val="Calibri"/>
      <family val="2"/>
      <scheme val="minor"/>
    </font>
    <font>
      <b/>
      <i/>
      <sz val="11"/>
      <color rgb="FFFF0000"/>
      <name val="Century Gothic"/>
      <family val="2"/>
    </font>
    <font>
      <b/>
      <i/>
      <sz val="14"/>
      <color rgb="FFFF0000"/>
      <name val="Calibri"/>
      <family val="2"/>
      <scheme val="minor"/>
    </font>
    <font>
      <i/>
      <sz val="14"/>
      <color rgb="FFFF0000"/>
      <name val="Calibri"/>
      <family val="2"/>
      <scheme val="minor"/>
    </font>
    <font>
      <sz val="14"/>
      <color theme="1"/>
      <name val="Calibri"/>
      <family val="2"/>
      <scheme val="minor"/>
    </font>
    <font>
      <sz val="10"/>
      <color theme="1"/>
      <name val="Times New Roman"/>
      <family val="1"/>
    </font>
    <font>
      <sz val="8"/>
      <color theme="1"/>
      <name val="Times New Roman"/>
      <family val="1"/>
    </font>
    <font>
      <sz val="11"/>
      <color theme="1"/>
      <name val="Times New Roman"/>
      <family val="1"/>
    </font>
    <font>
      <sz val="9"/>
      <color theme="1"/>
      <name val="Calibri"/>
      <family val="2"/>
      <scheme val="minor"/>
    </font>
    <font>
      <sz val="12"/>
      <color theme="1"/>
      <name val="Calibri"/>
      <family val="2"/>
      <scheme val="minor"/>
    </font>
    <font>
      <b/>
      <sz val="10"/>
      <color theme="5" tint="-0.249977111117893"/>
      <name val="Arial"/>
      <family val="2"/>
    </font>
    <font>
      <b/>
      <sz val="9"/>
      <color theme="5" tint="-0.249977111117893"/>
      <name val="Arial"/>
      <family val="2"/>
    </font>
    <font>
      <sz val="12"/>
      <name val="Arial"/>
      <family val="2"/>
    </font>
    <font>
      <i/>
      <sz val="11"/>
      <color theme="1"/>
      <name val="Calibri"/>
      <family val="2"/>
      <scheme val="minor"/>
    </font>
    <font>
      <b/>
      <i/>
      <sz val="14"/>
      <color theme="1"/>
      <name val="Times New Roman"/>
      <family val="1"/>
    </font>
    <font>
      <sz val="12"/>
      <color theme="1"/>
      <name val="Times New Roman"/>
      <family val="1"/>
    </font>
    <font>
      <b/>
      <sz val="9"/>
      <color theme="1"/>
      <name val="Times New Roman"/>
      <family val="1"/>
    </font>
    <font>
      <b/>
      <sz val="10"/>
      <color theme="1"/>
      <name val="Times New Roman"/>
      <family val="1"/>
    </font>
    <font>
      <b/>
      <sz val="12"/>
      <color theme="1"/>
      <name val="Calibri"/>
      <family val="2"/>
      <scheme val="minor"/>
    </font>
    <font>
      <b/>
      <sz val="14"/>
      <color theme="1"/>
      <name val="Calibri"/>
      <family val="2"/>
      <scheme val="minor"/>
    </font>
    <font>
      <sz val="10"/>
      <color theme="1"/>
      <name val="SimSun-PUA"/>
      <charset val="134"/>
    </font>
    <font>
      <sz val="12"/>
      <color theme="1"/>
      <name val="Browallia New"/>
      <family val="2"/>
    </font>
    <font>
      <b/>
      <sz val="9"/>
      <color theme="1"/>
      <name val="Calibri"/>
      <family val="2"/>
      <scheme val="minor"/>
    </font>
    <font>
      <sz val="11"/>
      <color theme="1"/>
      <name val="Calibri"/>
      <family val="2"/>
      <scheme val="minor"/>
    </font>
    <font>
      <b/>
      <sz val="16"/>
      <color rgb="FFFF0000"/>
      <name val="Calibri"/>
      <family val="2"/>
      <scheme val="minor"/>
    </font>
    <font>
      <b/>
      <sz val="14"/>
      <color theme="3" tint="-0.249977111117893"/>
      <name val="Calibri"/>
      <family val="2"/>
      <scheme val="minor"/>
    </font>
    <font>
      <b/>
      <sz val="14"/>
      <color theme="5" tint="-0.249977111117893"/>
      <name val="Calibri"/>
      <family val="2"/>
      <scheme val="minor"/>
    </font>
    <font>
      <b/>
      <sz val="14"/>
      <color rgb="FFFF0000"/>
      <name val="Calibri"/>
      <family val="2"/>
      <scheme val="minor"/>
    </font>
    <font>
      <b/>
      <sz val="10"/>
      <color theme="1"/>
      <name val="Calibri"/>
      <family val="2"/>
      <scheme val="minor"/>
    </font>
    <font>
      <b/>
      <sz val="8"/>
      <color theme="1"/>
      <name val="Times New Roman"/>
      <family val="1"/>
    </font>
    <font>
      <sz val="8"/>
      <color theme="1"/>
      <name val="Calibri"/>
      <family val="2"/>
      <scheme val="minor"/>
    </font>
    <font>
      <b/>
      <i/>
      <sz val="14"/>
      <color theme="1"/>
      <name val="Calibri"/>
      <family val="2"/>
      <scheme val="minor"/>
    </font>
    <font>
      <b/>
      <sz val="16"/>
      <color theme="1"/>
      <name val="Calibri"/>
      <family val="2"/>
      <scheme val="minor"/>
    </font>
    <font>
      <sz val="10"/>
      <color theme="1"/>
      <name val="Franklin Gothic Medium Cond"/>
      <family val="2"/>
    </font>
    <font>
      <sz val="11"/>
      <color rgb="FFFF0000"/>
      <name val="Calibri"/>
      <family val="2"/>
      <scheme val="minor"/>
    </font>
    <font>
      <b/>
      <sz val="11"/>
      <name val="Calibri"/>
      <family val="2"/>
      <scheme val="minor"/>
    </font>
    <font>
      <b/>
      <sz val="14"/>
      <name val="Calibri"/>
      <family val="2"/>
      <scheme val="minor"/>
    </font>
    <font>
      <sz val="11"/>
      <color rgb="FFC00000"/>
      <name val="Calibri"/>
      <family val="2"/>
      <scheme val="minor"/>
    </font>
    <font>
      <b/>
      <sz val="14"/>
      <color rgb="FFC00000"/>
      <name val="Calibri"/>
      <family val="2"/>
      <scheme val="minor"/>
    </font>
    <font>
      <b/>
      <sz val="11"/>
      <color rgb="FFC00000"/>
      <name val="Calibri"/>
      <family val="2"/>
      <scheme val="minor"/>
    </font>
    <font>
      <sz val="14"/>
      <color rgb="FFC00000"/>
      <name val="Calibri"/>
      <family val="2"/>
      <scheme val="minor"/>
    </font>
    <font>
      <sz val="10"/>
      <color theme="1"/>
      <name val="Calibri"/>
      <family val="2"/>
      <scheme val="minor"/>
    </font>
    <font>
      <b/>
      <sz val="9"/>
      <color theme="1"/>
      <name val="Calibri"/>
      <family val="2"/>
      <charset val="204"/>
      <scheme val="minor"/>
    </font>
    <font>
      <b/>
      <sz val="11"/>
      <color theme="1"/>
      <name val="Calibri"/>
      <family val="2"/>
      <charset val="204"/>
      <scheme val="minor"/>
    </font>
    <font>
      <b/>
      <sz val="14"/>
      <color theme="1"/>
      <name val="Calibri"/>
      <family val="2"/>
      <charset val="204"/>
      <scheme val="minor"/>
    </font>
    <font>
      <b/>
      <sz val="14"/>
      <color rgb="FFC00000"/>
      <name val="Arial Black"/>
      <family val="2"/>
      <charset val="204"/>
    </font>
    <font>
      <b/>
      <sz val="14"/>
      <color theme="1"/>
      <name val="Arial Black"/>
      <family val="2"/>
      <charset val="204"/>
    </font>
    <font>
      <sz val="14"/>
      <color rgb="FFC00000"/>
      <name val="Arial Black"/>
      <family val="2"/>
      <charset val="204"/>
    </font>
    <font>
      <sz val="14"/>
      <color theme="3"/>
      <name val="Arial Black"/>
      <family val="2"/>
      <charset val="204"/>
    </font>
    <font>
      <sz val="14"/>
      <color theme="1"/>
      <name val="Arial Black"/>
      <family val="2"/>
      <charset val="204"/>
    </font>
    <font>
      <sz val="14"/>
      <color rgb="FFFF0000"/>
      <name val="Arial Black"/>
      <family val="2"/>
      <charset val="204"/>
    </font>
    <font>
      <b/>
      <sz val="11"/>
      <name val="Arial"/>
      <family val="2"/>
      <charset val="204"/>
    </font>
    <font>
      <b/>
      <sz val="12"/>
      <name val="Calibri"/>
      <family val="2"/>
      <scheme val="minor"/>
    </font>
    <font>
      <sz val="10"/>
      <color theme="1"/>
      <name val="Arial Narrow"/>
      <family val="2"/>
    </font>
    <font>
      <b/>
      <sz val="12"/>
      <name val="Arial"/>
      <family val="2"/>
    </font>
    <font>
      <b/>
      <sz val="11"/>
      <name val="Arial"/>
      <family val="2"/>
    </font>
  </fonts>
  <fills count="19">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FFFF66"/>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rgb="FFFFFF99"/>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9"/>
        <bgColor indexed="64"/>
      </patternFill>
    </fill>
    <fill>
      <patternFill patternType="solid">
        <fgColor rgb="FFFF0000"/>
        <bgColor indexed="64"/>
      </patternFill>
    </fill>
  </fills>
  <borders count="8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thin">
        <color indexed="64"/>
      </left>
      <right style="double">
        <color indexed="64"/>
      </right>
      <top/>
      <bottom style="medium">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diagonal/>
    </border>
    <border>
      <left style="double">
        <color indexed="64"/>
      </left>
      <right/>
      <top/>
      <bottom style="medium">
        <color indexed="64"/>
      </bottom>
      <diagonal/>
    </border>
    <border>
      <left style="double">
        <color indexed="64"/>
      </left>
      <right/>
      <top/>
      <bottom style="thin">
        <color indexed="64"/>
      </bottom>
      <diagonal/>
    </border>
    <border>
      <left style="double">
        <color indexed="64"/>
      </left>
      <right/>
      <top style="thin">
        <color indexed="64"/>
      </top>
      <bottom style="thin">
        <color indexed="64"/>
      </bottom>
      <diagonal/>
    </border>
    <border>
      <left style="double">
        <color indexed="64"/>
      </left>
      <right style="double">
        <color indexed="64"/>
      </right>
      <top/>
      <bottom style="medium">
        <color indexed="64"/>
      </bottom>
      <diagonal/>
    </border>
    <border>
      <left style="double">
        <color indexed="64"/>
      </left>
      <right style="double">
        <color indexed="64"/>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double">
        <color indexed="64"/>
      </top>
      <bottom style="thin">
        <color indexed="64"/>
      </bottom>
      <diagonal/>
    </border>
    <border>
      <left style="double">
        <color indexed="64"/>
      </left>
      <right style="thin">
        <color indexed="64"/>
      </right>
      <top style="thin">
        <color indexed="64"/>
      </top>
      <bottom/>
      <diagonal/>
    </border>
    <border>
      <left style="thin">
        <color indexed="64"/>
      </left>
      <right/>
      <top style="double">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style="medium">
        <color indexed="64"/>
      </top>
      <bottom style="medium">
        <color indexed="64"/>
      </bottom>
      <diagonal/>
    </border>
    <border>
      <left/>
      <right style="double">
        <color indexed="64"/>
      </right>
      <top style="thin">
        <color indexed="64"/>
      </top>
      <bottom style="thin">
        <color indexed="64"/>
      </bottom>
      <diagonal/>
    </border>
    <border>
      <left style="thin">
        <color indexed="64"/>
      </left>
      <right style="double">
        <color indexed="64"/>
      </right>
      <top style="thin">
        <color indexed="64"/>
      </top>
      <bottom/>
      <diagonal/>
    </border>
    <border>
      <left style="thin">
        <color indexed="64"/>
      </left>
      <right style="thin">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style="double">
        <color indexed="64"/>
      </left>
      <right style="double">
        <color indexed="64"/>
      </right>
      <top style="medium">
        <color indexed="64"/>
      </top>
      <bottom/>
      <diagonal/>
    </border>
    <border>
      <left style="double">
        <color indexed="64"/>
      </left>
      <right style="double">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double">
        <color indexed="64"/>
      </left>
      <right style="thin">
        <color indexed="64"/>
      </right>
      <top/>
      <bottom style="thin">
        <color indexed="64"/>
      </bottom>
      <diagonal/>
    </border>
    <border>
      <left style="double">
        <color indexed="64"/>
      </left>
      <right style="thin">
        <color indexed="64"/>
      </right>
      <top style="double">
        <color indexed="64"/>
      </top>
      <bottom/>
      <diagonal/>
    </border>
    <border>
      <left style="double">
        <color indexed="64"/>
      </left>
      <right style="thin">
        <color indexed="64"/>
      </right>
      <top/>
      <bottom style="medium">
        <color indexed="64"/>
      </bottom>
      <diagonal/>
    </border>
    <border>
      <left style="medium">
        <color indexed="64"/>
      </left>
      <right style="thin">
        <color indexed="64"/>
      </right>
      <top/>
      <bottom/>
      <diagonal/>
    </border>
    <border>
      <left style="double">
        <color indexed="64"/>
      </left>
      <right style="double">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double">
        <color indexed="64"/>
      </right>
      <top/>
      <bottom/>
      <diagonal/>
    </border>
    <border>
      <left style="double">
        <color indexed="64"/>
      </left>
      <right style="double">
        <color indexed="64"/>
      </right>
      <top style="thin">
        <color indexed="64"/>
      </top>
      <bottom/>
      <diagonal/>
    </border>
    <border>
      <left style="medium">
        <color indexed="64"/>
      </left>
      <right style="thin">
        <color indexed="64"/>
      </right>
      <top style="thin">
        <color indexed="64"/>
      </top>
      <bottom/>
      <diagonal/>
    </border>
    <border>
      <left/>
      <right style="double">
        <color indexed="64"/>
      </right>
      <top/>
      <bottom style="thin">
        <color indexed="64"/>
      </bottom>
      <diagonal/>
    </border>
  </borders>
  <cellStyleXfs count="5">
    <xf numFmtId="0" fontId="0" fillId="0" borderId="0"/>
    <xf numFmtId="0" fontId="1" fillId="0" borderId="0"/>
    <xf numFmtId="0" fontId="2" fillId="0" borderId="0"/>
    <xf numFmtId="164" fontId="35" fillId="0" borderId="0" applyFont="0" applyFill="0" applyBorder="0" applyAlignment="0" applyProtection="0"/>
    <xf numFmtId="0" fontId="1" fillId="0" borderId="0"/>
  </cellStyleXfs>
  <cellXfs count="387">
    <xf numFmtId="0" fontId="0" fillId="0" borderId="0" xfId="0"/>
    <xf numFmtId="0" fontId="1" fillId="0" borderId="0" xfId="1"/>
    <xf numFmtId="0" fontId="2" fillId="0" borderId="1" xfId="1" applyFont="1" applyBorder="1" applyAlignment="1">
      <alignment horizontal="center"/>
    </xf>
    <xf numFmtId="0" fontId="2" fillId="0" borderId="0" xfId="1" applyFont="1"/>
    <xf numFmtId="0" fontId="4" fillId="0" borderId="0" xfId="1" applyFont="1"/>
    <xf numFmtId="0" fontId="10" fillId="0" borderId="0" xfId="0" applyFont="1"/>
    <xf numFmtId="0" fontId="2" fillId="0" borderId="3" xfId="1" applyFont="1" applyBorder="1" applyAlignment="1">
      <alignment horizontal="center"/>
    </xf>
    <xf numFmtId="0" fontId="2" fillId="5" borderId="28" xfId="1" applyFont="1" applyFill="1" applyBorder="1" applyAlignment="1">
      <alignment horizontal="center"/>
    </xf>
    <xf numFmtId="0" fontId="0" fillId="5" borderId="29" xfId="0" applyFill="1" applyBorder="1" applyAlignment="1">
      <alignment horizontal="center" vertical="center"/>
    </xf>
    <xf numFmtId="0" fontId="2" fillId="5" borderId="29" xfId="1" applyFont="1" applyFill="1" applyBorder="1" applyAlignment="1">
      <alignment horizontal="center"/>
    </xf>
    <xf numFmtId="0" fontId="2" fillId="5" borderId="24" xfId="1" applyFont="1" applyFill="1" applyBorder="1" applyAlignment="1">
      <alignment horizontal="center"/>
    </xf>
    <xf numFmtId="165" fontId="2" fillId="6" borderId="3" xfId="1" applyNumberFormat="1" applyFont="1" applyFill="1" applyBorder="1" applyAlignment="1">
      <alignment horizontal="center"/>
    </xf>
    <xf numFmtId="0" fontId="23" fillId="2" borderId="21" xfId="1" applyFont="1" applyFill="1" applyBorder="1" applyAlignment="1">
      <alignment horizontal="center"/>
    </xf>
    <xf numFmtId="0" fontId="23" fillId="2" borderId="13" xfId="1" applyFont="1" applyFill="1" applyBorder="1" applyAlignment="1">
      <alignment horizontal="center"/>
    </xf>
    <xf numFmtId="0" fontId="0" fillId="0" borderId="0" xfId="0" applyAlignment="1">
      <alignment vertical="center"/>
    </xf>
    <xf numFmtId="0" fontId="25" fillId="0" borderId="0" xfId="0" applyFont="1"/>
    <xf numFmtId="0" fontId="0" fillId="11" borderId="0" xfId="0" applyFill="1"/>
    <xf numFmtId="0" fontId="0" fillId="11" borderId="0" xfId="0" applyFill="1" applyAlignment="1">
      <alignment horizontal="center"/>
    </xf>
    <xf numFmtId="0" fontId="0" fillId="0" borderId="0" xfId="0" applyProtection="1">
      <protection hidden="1"/>
    </xf>
    <xf numFmtId="0" fontId="6" fillId="0" borderId="0" xfId="0" applyFont="1" applyAlignment="1" applyProtection="1">
      <alignment vertical="center"/>
      <protection hidden="1"/>
    </xf>
    <xf numFmtId="0" fontId="13" fillId="0" borderId="0" xfId="0" applyFont="1" applyAlignment="1" applyProtection="1">
      <alignment horizontal="center" vertical="center"/>
      <protection hidden="1"/>
    </xf>
    <xf numFmtId="0" fontId="7" fillId="0" borderId="0" xfId="0" applyFont="1" applyAlignment="1" applyProtection="1">
      <alignment horizontal="center"/>
      <protection hidden="1"/>
    </xf>
    <xf numFmtId="0" fontId="11" fillId="4" borderId="15" xfId="0" applyFont="1" applyFill="1" applyBorder="1" applyAlignment="1" applyProtection="1">
      <alignment horizontal="center"/>
      <protection hidden="1"/>
    </xf>
    <xf numFmtId="0" fontId="12" fillId="4" borderId="24" xfId="0" applyFont="1" applyFill="1" applyBorder="1" applyProtection="1">
      <protection hidden="1"/>
    </xf>
    <xf numFmtId="0" fontId="11" fillId="11" borderId="5" xfId="0" applyFont="1" applyFill="1" applyBorder="1" applyAlignment="1" applyProtection="1">
      <alignment horizontal="center" vertical="center"/>
      <protection hidden="1"/>
    </xf>
    <xf numFmtId="1" fontId="0" fillId="11" borderId="25" xfId="0" applyNumberFormat="1" applyFill="1" applyBorder="1" applyAlignment="1" applyProtection="1">
      <alignment horizontal="center"/>
      <protection hidden="1"/>
    </xf>
    <xf numFmtId="0" fontId="11" fillId="4" borderId="17" xfId="0" applyFont="1" applyFill="1" applyBorder="1" applyAlignment="1" applyProtection="1">
      <alignment horizontal="center"/>
      <protection hidden="1"/>
    </xf>
    <xf numFmtId="0" fontId="12" fillId="4" borderId="3" xfId="0" applyFont="1" applyFill="1" applyBorder="1" applyProtection="1">
      <protection hidden="1"/>
    </xf>
    <xf numFmtId="0" fontId="11" fillId="11" borderId="1" xfId="0" applyFont="1" applyFill="1" applyBorder="1" applyAlignment="1" applyProtection="1">
      <alignment horizontal="center" vertical="center"/>
      <protection hidden="1"/>
    </xf>
    <xf numFmtId="0" fontId="0" fillId="0" borderId="0" xfId="0" applyAlignment="1" applyProtection="1">
      <alignment horizontal="center"/>
      <protection hidden="1"/>
    </xf>
    <xf numFmtId="0" fontId="28" fillId="12" borderId="1" xfId="2" applyFont="1" applyFill="1" applyBorder="1" applyAlignment="1" applyProtection="1">
      <alignment vertical="center"/>
      <protection hidden="1"/>
    </xf>
    <xf numFmtId="0" fontId="0" fillId="11" borderId="0" xfId="0" applyFill="1" applyProtection="1">
      <protection hidden="1"/>
    </xf>
    <xf numFmtId="0" fontId="18" fillId="12" borderId="2" xfId="2" applyFont="1" applyFill="1" applyBorder="1" applyAlignment="1" applyProtection="1">
      <alignment horizontal="center" vertical="center"/>
      <protection hidden="1"/>
    </xf>
    <xf numFmtId="0" fontId="41" fillId="12" borderId="3" xfId="2" applyFont="1" applyFill="1" applyBorder="1" applyAlignment="1" applyProtection="1">
      <alignment horizontal="center" vertical="center"/>
      <protection hidden="1"/>
    </xf>
    <xf numFmtId="0" fontId="17" fillId="0" borderId="35" xfId="2" applyFont="1" applyBorder="1" applyAlignment="1" applyProtection="1">
      <alignment vertical="center"/>
      <protection hidden="1"/>
    </xf>
    <xf numFmtId="1" fontId="27" fillId="0" borderId="1" xfId="2" applyNumberFormat="1" applyFont="1" applyBorder="1" applyAlignment="1" applyProtection="1">
      <alignment horizontal="center" vertical="center"/>
      <protection hidden="1"/>
    </xf>
    <xf numFmtId="0" fontId="17" fillId="0" borderId="0" xfId="2" applyFont="1" applyAlignment="1" applyProtection="1">
      <alignment horizontal="left" vertical="center"/>
      <protection hidden="1"/>
    </xf>
    <xf numFmtId="0" fontId="27" fillId="0" borderId="0" xfId="2" applyFont="1" applyAlignment="1" applyProtection="1">
      <alignment horizontal="center" vertical="center"/>
      <protection hidden="1"/>
    </xf>
    <xf numFmtId="1" fontId="27" fillId="0" borderId="0" xfId="2" applyNumberFormat="1" applyFont="1" applyAlignment="1" applyProtection="1">
      <alignment horizontal="center" vertical="center"/>
      <protection hidden="1"/>
    </xf>
    <xf numFmtId="0" fontId="0" fillId="0" borderId="19" xfId="0" applyBorder="1" applyProtection="1">
      <protection hidden="1"/>
    </xf>
    <xf numFmtId="0" fontId="27" fillId="0" borderId="1" xfId="2" applyFont="1" applyBorder="1" applyAlignment="1" applyProtection="1">
      <alignment horizontal="center" vertical="center"/>
      <protection hidden="1"/>
    </xf>
    <xf numFmtId="0" fontId="0" fillId="0" borderId="32" xfId="0" applyBorder="1" applyProtection="1">
      <protection hidden="1"/>
    </xf>
    <xf numFmtId="0" fontId="18" fillId="0" borderId="4" xfId="2" applyFont="1" applyBorder="1" applyAlignment="1" applyProtection="1">
      <alignment vertical="center"/>
      <protection hidden="1"/>
    </xf>
    <xf numFmtId="0" fontId="18" fillId="0" borderId="35" xfId="2" applyFont="1" applyBorder="1" applyAlignment="1" applyProtection="1">
      <alignment vertical="center"/>
      <protection hidden="1"/>
    </xf>
    <xf numFmtId="0" fontId="16" fillId="0" borderId="19" xfId="0" applyFont="1" applyBorder="1" applyProtection="1">
      <protection hidden="1"/>
    </xf>
    <xf numFmtId="0" fontId="20" fillId="0" borderId="4" xfId="0" applyFont="1" applyBorder="1" applyProtection="1">
      <protection hidden="1"/>
    </xf>
    <xf numFmtId="0" fontId="41" fillId="12" borderId="37" xfId="2" applyFont="1" applyFill="1" applyBorder="1" applyAlignment="1" applyProtection="1">
      <alignment horizontal="center" vertical="center"/>
      <protection hidden="1"/>
    </xf>
    <xf numFmtId="0" fontId="18" fillId="0" borderId="1" xfId="2" applyFont="1" applyBorder="1" applyAlignment="1" applyProtection="1">
      <alignment vertical="center"/>
      <protection hidden="1"/>
    </xf>
    <xf numFmtId="0" fontId="0" fillId="0" borderId="1" xfId="0" applyBorder="1" applyProtection="1">
      <protection hidden="1"/>
    </xf>
    <xf numFmtId="0" fontId="0" fillId="0" borderId="0" xfId="0" applyAlignment="1" applyProtection="1">
      <alignment horizontal="center" vertical="center"/>
      <protection hidden="1"/>
    </xf>
    <xf numFmtId="0" fontId="0" fillId="0" borderId="6" xfId="0" applyBorder="1" applyProtection="1">
      <protection hidden="1"/>
    </xf>
    <xf numFmtId="0" fontId="0" fillId="0" borderId="7" xfId="0" applyBorder="1" applyProtection="1">
      <protection hidden="1"/>
    </xf>
    <xf numFmtId="0" fontId="0" fillId="0" borderId="2" xfId="0" applyBorder="1" applyProtection="1">
      <protection hidden="1"/>
    </xf>
    <xf numFmtId="0" fontId="16" fillId="0" borderId="3" xfId="0" applyFont="1" applyBorder="1" applyProtection="1">
      <protection hidden="1"/>
    </xf>
    <xf numFmtId="0" fontId="31" fillId="0" borderId="0" xfId="0" applyFont="1" applyProtection="1">
      <protection hidden="1"/>
    </xf>
    <xf numFmtId="0" fontId="30" fillId="0" borderId="0" xfId="0" applyFont="1" applyProtection="1">
      <protection hidden="1"/>
    </xf>
    <xf numFmtId="0" fontId="34" fillId="0" borderId="47" xfId="0" applyFont="1" applyBorder="1" applyAlignment="1" applyProtection="1">
      <alignment horizontal="center" vertical="center"/>
      <protection hidden="1"/>
    </xf>
    <xf numFmtId="0" fontId="34" fillId="0" borderId="13" xfId="0" applyFont="1" applyBorder="1" applyAlignment="1" applyProtection="1">
      <alignment horizontal="center" vertical="center"/>
      <protection hidden="1"/>
    </xf>
    <xf numFmtId="0" fontId="34" fillId="0" borderId="48" xfId="0" applyFont="1" applyBorder="1" applyAlignment="1" applyProtection="1">
      <alignment vertical="center"/>
      <protection hidden="1"/>
    </xf>
    <xf numFmtId="0" fontId="34" fillId="0" borderId="45" xfId="0" applyFont="1" applyBorder="1" applyAlignment="1" applyProtection="1">
      <alignment vertical="center"/>
      <protection hidden="1"/>
    </xf>
    <xf numFmtId="0" fontId="0" fillId="0" borderId="3" xfId="0" applyBorder="1" applyProtection="1">
      <protection hidden="1"/>
    </xf>
    <xf numFmtId="2" fontId="0" fillId="0" borderId="3" xfId="0" applyNumberFormat="1" applyBorder="1" applyAlignment="1" applyProtection="1">
      <alignment horizontal="center" vertical="center"/>
      <protection hidden="1"/>
    </xf>
    <xf numFmtId="164" fontId="37" fillId="0" borderId="0" xfId="3" applyFont="1" applyAlignment="1" applyProtection="1">
      <protection hidden="1"/>
    </xf>
    <xf numFmtId="0" fontId="10" fillId="0" borderId="0" xfId="0" applyFont="1" applyProtection="1">
      <protection hidden="1"/>
    </xf>
    <xf numFmtId="0" fontId="0" fillId="0" borderId="8" xfId="0" applyBorder="1" applyProtection="1">
      <protection hidden="1"/>
    </xf>
    <xf numFmtId="0" fontId="0" fillId="0" borderId="45" xfId="0" applyBorder="1" applyProtection="1">
      <protection hidden="1"/>
    </xf>
    <xf numFmtId="0" fontId="10" fillId="0" borderId="43" xfId="0" applyFont="1" applyBorder="1" applyAlignment="1" applyProtection="1">
      <alignment horizontal="center"/>
      <protection hidden="1"/>
    </xf>
    <xf numFmtId="0" fontId="10" fillId="0" borderId="44" xfId="0" applyFont="1" applyBorder="1" applyAlignment="1" applyProtection="1">
      <alignment horizontal="center"/>
      <protection hidden="1"/>
    </xf>
    <xf numFmtId="0" fontId="0" fillId="0" borderId="42" xfId="0" applyBorder="1" applyProtection="1">
      <protection hidden="1"/>
    </xf>
    <xf numFmtId="0" fontId="0" fillId="0" borderId="9" xfId="0" applyBorder="1" applyProtection="1">
      <protection hidden="1"/>
    </xf>
    <xf numFmtId="0" fontId="10" fillId="0" borderId="7" xfId="0" applyFont="1" applyBorder="1" applyProtection="1">
      <protection hidden="1"/>
    </xf>
    <xf numFmtId="1" fontId="0" fillId="0" borderId="16" xfId="0" applyNumberFormat="1" applyBorder="1" applyAlignment="1" applyProtection="1">
      <alignment horizontal="center"/>
      <protection hidden="1"/>
    </xf>
    <xf numFmtId="1" fontId="0" fillId="0" borderId="3" xfId="0" applyNumberFormat="1" applyBorder="1" applyAlignment="1" applyProtection="1">
      <alignment horizontal="center"/>
      <protection hidden="1"/>
    </xf>
    <xf numFmtId="1" fontId="0" fillId="0" borderId="0" xfId="0" applyNumberFormat="1" applyAlignment="1" applyProtection="1">
      <alignment horizontal="center"/>
      <protection hidden="1"/>
    </xf>
    <xf numFmtId="0" fontId="10" fillId="0" borderId="5" xfId="0" applyFont="1" applyBorder="1" applyProtection="1">
      <protection hidden="1"/>
    </xf>
    <xf numFmtId="1" fontId="0" fillId="0" borderId="18" xfId="0" applyNumberFormat="1" applyBorder="1" applyAlignment="1" applyProtection="1">
      <alignment horizontal="center"/>
      <protection hidden="1"/>
    </xf>
    <xf numFmtId="1" fontId="0" fillId="0" borderId="1" xfId="0" applyNumberFormat="1" applyBorder="1" applyAlignment="1" applyProtection="1">
      <alignment horizontal="center"/>
      <protection hidden="1"/>
    </xf>
    <xf numFmtId="0" fontId="36" fillId="0" borderId="0" xfId="0" applyFont="1" applyProtection="1">
      <protection hidden="1"/>
    </xf>
    <xf numFmtId="164" fontId="37" fillId="0" borderId="0" xfId="3" applyFont="1" applyAlignment="1" applyProtection="1">
      <alignment horizontal="center"/>
      <protection hidden="1"/>
    </xf>
    <xf numFmtId="0" fontId="36" fillId="0" borderId="0" xfId="0" applyFont="1" applyAlignment="1" applyProtection="1">
      <alignment horizontal="center"/>
      <protection hidden="1"/>
    </xf>
    <xf numFmtId="0" fontId="0" fillId="0" borderId="33" xfId="0" applyBorder="1" applyProtection="1">
      <protection hidden="1"/>
    </xf>
    <xf numFmtId="0" fontId="0" fillId="0" borderId="34" xfId="0" applyBorder="1" applyProtection="1">
      <protection hidden="1"/>
    </xf>
    <xf numFmtId="0" fontId="38" fillId="0" borderId="0" xfId="0" applyFont="1" applyAlignment="1" applyProtection="1">
      <alignment horizontal="center"/>
      <protection hidden="1"/>
    </xf>
    <xf numFmtId="0" fontId="0" fillId="0" borderId="39" xfId="0" applyBorder="1" applyProtection="1">
      <protection hidden="1"/>
    </xf>
    <xf numFmtId="0" fontId="10" fillId="0" borderId="21" xfId="0" applyFont="1" applyBorder="1" applyAlignment="1" applyProtection="1">
      <alignment vertical="center"/>
      <protection hidden="1"/>
    </xf>
    <xf numFmtId="0" fontId="32" fillId="0" borderId="4" xfId="0" applyFont="1" applyBorder="1" applyProtection="1">
      <protection hidden="1"/>
    </xf>
    <xf numFmtId="0" fontId="32" fillId="0" borderId="0" xfId="0" applyFont="1" applyProtection="1">
      <protection hidden="1"/>
    </xf>
    <xf numFmtId="0" fontId="0" fillId="9" borderId="1" xfId="0" applyFill="1" applyBorder="1" applyProtection="1">
      <protection hidden="1"/>
    </xf>
    <xf numFmtId="0" fontId="0" fillId="8" borderId="1" xfId="0" applyFill="1" applyBorder="1" applyProtection="1">
      <protection hidden="1"/>
    </xf>
    <xf numFmtId="0" fontId="10" fillId="9" borderId="1" xfId="0" applyFont="1" applyFill="1" applyBorder="1" applyProtection="1">
      <protection hidden="1"/>
    </xf>
    <xf numFmtId="0" fontId="10" fillId="8" borderId="1" xfId="0" applyFont="1" applyFill="1" applyBorder="1" applyProtection="1">
      <protection hidden="1"/>
    </xf>
    <xf numFmtId="0" fontId="10" fillId="10" borderId="1" xfId="0" applyFont="1" applyFill="1" applyBorder="1" applyProtection="1">
      <protection hidden="1"/>
    </xf>
    <xf numFmtId="0" fontId="0" fillId="0" borderId="38" xfId="0" applyBorder="1" applyProtection="1">
      <protection hidden="1"/>
    </xf>
    <xf numFmtId="0" fontId="0" fillId="0" borderId="40" xfId="0" applyBorder="1" applyProtection="1">
      <protection hidden="1"/>
    </xf>
    <xf numFmtId="0" fontId="0" fillId="0" borderId="10" xfId="0" applyBorder="1" applyAlignment="1" applyProtection="1">
      <alignment horizontal="center"/>
      <protection hidden="1"/>
    </xf>
    <xf numFmtId="0" fontId="0" fillId="0" borderId="25" xfId="0" applyBorder="1" applyProtection="1">
      <protection hidden="1"/>
    </xf>
    <xf numFmtId="0" fontId="0" fillId="0" borderId="5" xfId="0" applyBorder="1" applyProtection="1">
      <protection hidden="1"/>
    </xf>
    <xf numFmtId="0" fontId="0" fillId="5" borderId="1" xfId="0" applyFill="1" applyBorder="1" applyProtection="1">
      <protection hidden="1"/>
    </xf>
    <xf numFmtId="0" fontId="10" fillId="5" borderId="1" xfId="0" applyFont="1" applyFill="1" applyBorder="1" applyProtection="1">
      <protection hidden="1"/>
    </xf>
    <xf numFmtId="0" fontId="10" fillId="5" borderId="25" xfId="0" applyFont="1" applyFill="1" applyBorder="1" applyProtection="1">
      <protection hidden="1"/>
    </xf>
    <xf numFmtId="0" fontId="20" fillId="7" borderId="1" xfId="0" applyFont="1" applyFill="1" applyBorder="1" applyProtection="1">
      <protection hidden="1"/>
    </xf>
    <xf numFmtId="165" fontId="1" fillId="6" borderId="3" xfId="1" applyNumberFormat="1" applyFill="1" applyBorder="1" applyAlignment="1">
      <alignment horizontal="center"/>
    </xf>
    <xf numFmtId="0" fontId="1" fillId="0" borderId="1" xfId="1" applyBorder="1" applyAlignment="1">
      <alignment horizontal="center"/>
    </xf>
    <xf numFmtId="0" fontId="1" fillId="5" borderId="24" xfId="1" applyFill="1" applyBorder="1" applyAlignment="1">
      <alignment horizontal="center"/>
    </xf>
    <xf numFmtId="0" fontId="20" fillId="0" borderId="1" xfId="0" applyFont="1" applyBorder="1" applyProtection="1">
      <protection hidden="1"/>
    </xf>
    <xf numFmtId="0" fontId="0" fillId="8" borderId="4" xfId="0" applyFill="1" applyBorder="1" applyProtection="1">
      <protection hidden="1"/>
    </xf>
    <xf numFmtId="0" fontId="10" fillId="8" borderId="4" xfId="0" applyFont="1" applyFill="1" applyBorder="1" applyProtection="1">
      <protection hidden="1"/>
    </xf>
    <xf numFmtId="0" fontId="10" fillId="0" borderId="0" xfId="0" applyFont="1" applyAlignment="1" applyProtection="1">
      <alignment horizontal="center"/>
      <protection hidden="1"/>
    </xf>
    <xf numFmtId="0" fontId="39" fillId="0" borderId="0" xfId="0" applyFont="1" applyAlignment="1" applyProtection="1">
      <alignment horizontal="center"/>
      <protection hidden="1"/>
    </xf>
    <xf numFmtId="2" fontId="12" fillId="0" borderId="3" xfId="0" applyNumberFormat="1" applyFont="1" applyBorder="1" applyAlignment="1" applyProtection="1">
      <alignment horizontal="center" vertical="center"/>
      <protection hidden="1"/>
    </xf>
    <xf numFmtId="0" fontId="10" fillId="0" borderId="45" xfId="0" applyFont="1" applyBorder="1" applyAlignment="1" applyProtection="1">
      <alignment horizontal="center"/>
      <protection hidden="1"/>
    </xf>
    <xf numFmtId="1" fontId="0" fillId="0" borderId="53" xfId="0" applyNumberFormat="1" applyBorder="1" applyAlignment="1" applyProtection="1">
      <alignment horizontal="center"/>
      <protection hidden="1"/>
    </xf>
    <xf numFmtId="1" fontId="0" fillId="0" borderId="54" xfId="0" applyNumberFormat="1" applyBorder="1" applyAlignment="1" applyProtection="1">
      <alignment horizontal="center"/>
      <protection hidden="1"/>
    </xf>
    <xf numFmtId="0" fontId="10" fillId="0" borderId="34" xfId="0" applyFont="1" applyBorder="1" applyProtection="1">
      <protection hidden="1"/>
    </xf>
    <xf numFmtId="0" fontId="10" fillId="0" borderId="9" xfId="0" applyFont="1" applyBorder="1" applyProtection="1">
      <protection hidden="1"/>
    </xf>
    <xf numFmtId="0" fontId="10" fillId="0" borderId="1" xfId="0" applyFont="1" applyBorder="1" applyProtection="1">
      <protection hidden="1"/>
    </xf>
    <xf numFmtId="0" fontId="10" fillId="0" borderId="3" xfId="0" applyFont="1" applyBorder="1" applyProtection="1">
      <protection hidden="1"/>
    </xf>
    <xf numFmtId="2" fontId="0" fillId="0" borderId="3" xfId="0" applyNumberFormat="1" applyBorder="1" applyAlignment="1" applyProtection="1">
      <alignment horizontal="center"/>
      <protection hidden="1"/>
    </xf>
    <xf numFmtId="0" fontId="46" fillId="0" borderId="0" xfId="0" applyFont="1" applyProtection="1">
      <protection hidden="1"/>
    </xf>
    <xf numFmtId="1" fontId="48" fillId="11" borderId="3" xfId="0" applyNumberFormat="1" applyFont="1" applyFill="1" applyBorder="1" applyProtection="1">
      <protection hidden="1"/>
    </xf>
    <xf numFmtId="0" fontId="49" fillId="0" borderId="0" xfId="0" applyFont="1" applyProtection="1">
      <protection hidden="1"/>
    </xf>
    <xf numFmtId="1" fontId="48" fillId="11" borderId="20" xfId="0" applyNumberFormat="1" applyFont="1" applyFill="1" applyBorder="1" applyProtection="1">
      <protection hidden="1"/>
    </xf>
    <xf numFmtId="0" fontId="50" fillId="5" borderId="58" xfId="0" applyFont="1" applyFill="1" applyBorder="1" applyAlignment="1" applyProtection="1">
      <alignment horizontal="center"/>
      <protection hidden="1"/>
    </xf>
    <xf numFmtId="0" fontId="10" fillId="6" borderId="1" xfId="0" applyFont="1" applyFill="1" applyBorder="1" applyProtection="1">
      <protection hidden="1"/>
    </xf>
    <xf numFmtId="0" fontId="30" fillId="6" borderId="1" xfId="0" applyFont="1" applyFill="1" applyBorder="1" applyAlignment="1" applyProtection="1">
      <alignment horizontal="center" vertical="center"/>
      <protection hidden="1"/>
    </xf>
    <xf numFmtId="0" fontId="10" fillId="3" borderId="1" xfId="0" applyFont="1" applyFill="1" applyBorder="1"/>
    <xf numFmtId="1" fontId="51" fillId="3" borderId="1" xfId="0" applyNumberFormat="1" applyFont="1" applyFill="1" applyBorder="1" applyAlignment="1">
      <alignment horizontal="center" vertical="center"/>
    </xf>
    <xf numFmtId="1" fontId="48" fillId="11" borderId="17" xfId="0" applyNumberFormat="1" applyFont="1" applyFill="1" applyBorder="1" applyProtection="1">
      <protection hidden="1"/>
    </xf>
    <xf numFmtId="1" fontId="48" fillId="11" borderId="14" xfId="0" applyNumberFormat="1" applyFont="1" applyFill="1" applyBorder="1" applyProtection="1">
      <protection hidden="1"/>
    </xf>
    <xf numFmtId="0" fontId="45" fillId="0" borderId="20" xfId="0" applyFont="1" applyBorder="1" applyProtection="1">
      <protection hidden="1"/>
    </xf>
    <xf numFmtId="0" fontId="0" fillId="0" borderId="24" xfId="0" applyBorder="1" applyProtection="1">
      <protection hidden="1"/>
    </xf>
    <xf numFmtId="0" fontId="0" fillId="0" borderId="63" xfId="0" applyBorder="1" applyProtection="1">
      <protection hidden="1"/>
    </xf>
    <xf numFmtId="0" fontId="0" fillId="0" borderId="64" xfId="0" applyBorder="1" applyAlignment="1" applyProtection="1">
      <alignment horizontal="center"/>
      <protection hidden="1"/>
    </xf>
    <xf numFmtId="0" fontId="0" fillId="0" borderId="58" xfId="0" applyBorder="1"/>
    <xf numFmtId="0" fontId="0" fillId="0" borderId="31" xfId="0" applyBorder="1"/>
    <xf numFmtId="1" fontId="31" fillId="0" borderId="1" xfId="0" applyNumberFormat="1" applyFont="1" applyBorder="1" applyProtection="1">
      <protection hidden="1"/>
    </xf>
    <xf numFmtId="0" fontId="53" fillId="0" borderId="0" xfId="0" applyFont="1"/>
    <xf numFmtId="0" fontId="21" fillId="0" borderId="0" xfId="0" applyFont="1"/>
    <xf numFmtId="1" fontId="48" fillId="11" borderId="1" xfId="0" applyNumberFormat="1" applyFont="1" applyFill="1" applyBorder="1" applyProtection="1">
      <protection hidden="1"/>
    </xf>
    <xf numFmtId="0" fontId="31" fillId="14" borderId="1" xfId="0" applyFont="1" applyFill="1" applyBorder="1" applyAlignment="1">
      <alignment horizontal="center"/>
    </xf>
    <xf numFmtId="0" fontId="31" fillId="14" borderId="3" xfId="0" applyFont="1" applyFill="1" applyBorder="1" applyAlignment="1">
      <alignment horizontal="center"/>
    </xf>
    <xf numFmtId="0" fontId="16" fillId="0" borderId="1" xfId="0" applyFont="1" applyBorder="1" applyAlignment="1" applyProtection="1">
      <alignment horizontal="center" vertical="center"/>
      <protection hidden="1"/>
    </xf>
    <xf numFmtId="0" fontId="18" fillId="0" borderId="37" xfId="0" applyFont="1" applyBorder="1" applyAlignment="1" applyProtection="1">
      <alignment vertical="center" wrapText="1"/>
      <protection hidden="1"/>
    </xf>
    <xf numFmtId="0" fontId="18" fillId="0" borderId="0" xfId="2" applyFont="1" applyAlignment="1" applyProtection="1">
      <alignment horizontal="center" vertical="center" wrapText="1"/>
      <protection hidden="1"/>
    </xf>
    <xf numFmtId="0" fontId="17" fillId="0" borderId="0" xfId="2" applyFont="1" applyAlignment="1" applyProtection="1">
      <alignment vertical="center"/>
      <protection hidden="1"/>
    </xf>
    <xf numFmtId="0" fontId="27" fillId="0" borderId="32" xfId="2" applyFont="1" applyBorder="1" applyAlignment="1" applyProtection="1">
      <alignment horizontal="center" vertical="center"/>
      <protection hidden="1"/>
    </xf>
    <xf numFmtId="0" fontId="18" fillId="0" borderId="0" xfId="0" applyFont="1" applyAlignment="1" applyProtection="1">
      <alignment vertical="center" wrapText="1"/>
      <protection hidden="1"/>
    </xf>
    <xf numFmtId="1" fontId="27" fillId="0" borderId="32" xfId="2" applyNumberFormat="1" applyFont="1" applyBorder="1" applyAlignment="1" applyProtection="1">
      <alignment horizontal="center" vertical="center"/>
      <protection hidden="1"/>
    </xf>
    <xf numFmtId="0" fontId="0" fillId="0" borderId="69" xfId="0" applyBorder="1" applyProtection="1">
      <protection hidden="1"/>
    </xf>
    <xf numFmtId="0" fontId="33" fillId="0" borderId="0" xfId="0" applyFont="1" applyProtection="1">
      <protection hidden="1"/>
    </xf>
    <xf numFmtId="1" fontId="48" fillId="0" borderId="0" xfId="0" applyNumberFormat="1" applyFont="1" applyProtection="1">
      <protection hidden="1"/>
    </xf>
    <xf numFmtId="0" fontId="50" fillId="0" borderId="0" xfId="0" applyFont="1" applyAlignment="1" applyProtection="1">
      <alignment horizontal="center"/>
      <protection hidden="1"/>
    </xf>
    <xf numFmtId="0" fontId="0" fillId="0" borderId="38" xfId="0" applyBorder="1" applyAlignment="1">
      <alignment horizontal="center"/>
    </xf>
    <xf numFmtId="1" fontId="20" fillId="14" borderId="1" xfId="0" applyNumberFormat="1" applyFont="1" applyFill="1" applyBorder="1" applyProtection="1">
      <protection hidden="1"/>
    </xf>
    <xf numFmtId="1" fontId="20" fillId="14" borderId="25" xfId="0" applyNumberFormat="1" applyFont="1" applyFill="1" applyBorder="1" applyProtection="1">
      <protection hidden="1"/>
    </xf>
    <xf numFmtId="1" fontId="54" fillId="14" borderId="1" xfId="0" applyNumberFormat="1" applyFont="1" applyFill="1" applyBorder="1" applyProtection="1">
      <protection hidden="1"/>
    </xf>
    <xf numFmtId="1" fontId="54" fillId="14" borderId="25" xfId="0" applyNumberFormat="1" applyFont="1" applyFill="1" applyBorder="1" applyProtection="1">
      <protection hidden="1"/>
    </xf>
    <xf numFmtId="0" fontId="54" fillId="14" borderId="25" xfId="0" applyFont="1" applyFill="1" applyBorder="1" applyProtection="1">
      <protection hidden="1"/>
    </xf>
    <xf numFmtId="0" fontId="0" fillId="0" borderId="5" xfId="0" applyBorder="1"/>
    <xf numFmtId="1" fontId="51" fillId="3" borderId="4" xfId="0" applyNumberFormat="1" applyFont="1" applyFill="1" applyBorder="1" applyAlignment="1">
      <alignment horizontal="center" vertical="center"/>
    </xf>
    <xf numFmtId="1" fontId="57" fillId="3" borderId="33" xfId="0" applyNumberFormat="1" applyFont="1" applyFill="1" applyBorder="1" applyAlignment="1">
      <alignment horizontal="center" vertical="center"/>
    </xf>
    <xf numFmtId="0" fontId="58" fillId="6" borderId="33" xfId="0" applyFont="1" applyFill="1" applyBorder="1" applyAlignment="1" applyProtection="1">
      <alignment horizontal="center" vertical="center"/>
      <protection hidden="1"/>
    </xf>
    <xf numFmtId="0" fontId="58" fillId="6" borderId="1" xfId="0" applyFont="1" applyFill="1" applyBorder="1" applyAlignment="1" applyProtection="1">
      <alignment horizontal="center" vertical="center"/>
      <protection hidden="1"/>
    </xf>
    <xf numFmtId="1" fontId="59" fillId="3" borderId="1" xfId="0" applyNumberFormat="1" applyFont="1" applyFill="1" applyBorder="1" applyAlignment="1">
      <alignment horizontal="center" vertical="center"/>
    </xf>
    <xf numFmtId="0" fontId="60" fillId="14" borderId="8" xfId="0" applyFont="1" applyFill="1" applyBorder="1" applyAlignment="1">
      <alignment horizontal="center" vertical="center"/>
    </xf>
    <xf numFmtId="0" fontId="60" fillId="14" borderId="52" xfId="0" applyFont="1" applyFill="1" applyBorder="1" applyAlignment="1">
      <alignment horizontal="center" vertical="center"/>
    </xf>
    <xf numFmtId="0" fontId="31" fillId="0" borderId="0" xfId="0" applyFont="1" applyAlignment="1">
      <alignment horizontal="center"/>
    </xf>
    <xf numFmtId="0" fontId="61" fillId="6" borderId="1" xfId="0" applyFont="1" applyFill="1" applyBorder="1" applyAlignment="1" applyProtection="1">
      <alignment horizontal="center" vertical="center"/>
      <protection hidden="1"/>
    </xf>
    <xf numFmtId="1" fontId="62" fillId="3" borderId="1" xfId="0" applyNumberFormat="1" applyFont="1" applyFill="1" applyBorder="1" applyAlignment="1">
      <alignment horizontal="center" vertical="center"/>
    </xf>
    <xf numFmtId="0" fontId="61" fillId="14" borderId="1" xfId="0" applyFont="1" applyFill="1" applyBorder="1" applyAlignment="1">
      <alignment horizontal="center" vertical="center"/>
    </xf>
    <xf numFmtId="1" fontId="55" fillId="2" borderId="1" xfId="0" applyNumberFormat="1" applyFont="1" applyFill="1" applyBorder="1" applyAlignment="1" applyProtection="1">
      <alignment horizontal="center" vertical="center"/>
      <protection hidden="1"/>
    </xf>
    <xf numFmtId="0" fontId="56" fillId="0" borderId="0" xfId="0" applyFont="1" applyAlignment="1">
      <alignment horizontal="center"/>
    </xf>
    <xf numFmtId="1" fontId="56" fillId="6" borderId="1" xfId="0" applyNumberFormat="1" applyFont="1" applyFill="1" applyBorder="1" applyAlignment="1">
      <alignment horizontal="center"/>
    </xf>
    <xf numFmtId="0" fontId="5" fillId="3" borderId="33" xfId="0" applyFont="1" applyFill="1" applyBorder="1" applyAlignment="1" applyProtection="1">
      <alignment horizontal="center" vertical="center"/>
      <protection hidden="1"/>
    </xf>
    <xf numFmtId="0" fontId="9" fillId="3" borderId="7" xfId="0" applyFont="1" applyFill="1" applyBorder="1" applyAlignment="1" applyProtection="1">
      <alignment horizontal="center" textRotation="90"/>
      <protection hidden="1"/>
    </xf>
    <xf numFmtId="0" fontId="9" fillId="3" borderId="7" xfId="0" applyFont="1" applyFill="1" applyBorder="1" applyAlignment="1" applyProtection="1">
      <alignment horizontal="center" vertical="center" textRotation="90"/>
      <protection hidden="1"/>
    </xf>
    <xf numFmtId="0" fontId="9" fillId="3" borderId="24" xfId="0" applyFont="1" applyFill="1" applyBorder="1" applyAlignment="1" applyProtection="1">
      <alignment horizontal="center" vertical="center" textRotation="90" wrapText="1"/>
      <protection hidden="1"/>
    </xf>
    <xf numFmtId="0" fontId="63" fillId="11" borderId="5" xfId="0" applyFont="1" applyFill="1" applyBorder="1" applyAlignment="1" applyProtection="1">
      <alignment horizontal="center"/>
      <protection hidden="1"/>
    </xf>
    <xf numFmtId="0" fontId="20" fillId="0" borderId="4" xfId="0" applyFont="1" applyBorder="1" applyAlignment="1" applyProtection="1">
      <alignment horizontal="center"/>
      <protection hidden="1"/>
    </xf>
    <xf numFmtId="0" fontId="19" fillId="0" borderId="1" xfId="2" applyFont="1" applyBorder="1" applyAlignment="1" applyProtection="1">
      <alignment horizontal="center" vertical="center"/>
      <protection hidden="1"/>
    </xf>
    <xf numFmtId="0" fontId="29" fillId="12" borderId="1" xfId="2" applyFont="1" applyFill="1" applyBorder="1" applyAlignment="1" applyProtection="1">
      <alignment horizontal="center" vertical="center"/>
      <protection hidden="1"/>
    </xf>
    <xf numFmtId="0" fontId="0" fillId="0" borderId="1" xfId="0" applyBorder="1" applyAlignment="1" applyProtection="1">
      <alignment horizontal="center"/>
      <protection hidden="1"/>
    </xf>
    <xf numFmtId="0" fontId="0" fillId="0" borderId="19" xfId="0" applyBorder="1" applyAlignment="1" applyProtection="1">
      <alignment horizontal="left"/>
      <protection hidden="1"/>
    </xf>
    <xf numFmtId="0" fontId="0" fillId="0" borderId="2" xfId="0" applyBorder="1" applyAlignment="1" applyProtection="1">
      <alignment horizontal="center"/>
      <protection hidden="1"/>
    </xf>
    <xf numFmtId="0" fontId="0" fillId="0" borderId="19" xfId="0" applyBorder="1" applyAlignment="1" applyProtection="1">
      <alignment horizontal="center"/>
      <protection hidden="1"/>
    </xf>
    <xf numFmtId="0" fontId="18" fillId="0" borderId="4" xfId="2" applyFont="1" applyBorder="1" applyAlignment="1" applyProtection="1">
      <alignment horizontal="center" vertical="center"/>
      <protection hidden="1"/>
    </xf>
    <xf numFmtId="0" fontId="0" fillId="0" borderId="4" xfId="0" applyBorder="1" applyAlignment="1" applyProtection="1">
      <alignment horizontal="center"/>
      <protection hidden="1"/>
    </xf>
    <xf numFmtId="0" fontId="19" fillId="0" borderId="4" xfId="2" applyFont="1" applyBorder="1" applyAlignment="1" applyProtection="1">
      <alignment horizontal="center" vertical="center"/>
      <protection hidden="1"/>
    </xf>
    <xf numFmtId="0" fontId="12" fillId="4" borderId="1" xfId="0" applyFont="1" applyFill="1" applyBorder="1" applyProtection="1">
      <protection hidden="1"/>
    </xf>
    <xf numFmtId="165" fontId="1" fillId="6" borderId="1" xfId="1" applyNumberFormat="1" applyFill="1" applyBorder="1" applyAlignment="1">
      <alignment horizontal="center"/>
    </xf>
    <xf numFmtId="0" fontId="1" fillId="5" borderId="25" xfId="1" applyFill="1" applyBorder="1" applyAlignment="1">
      <alignment horizontal="center"/>
    </xf>
    <xf numFmtId="0" fontId="0" fillId="5" borderId="25" xfId="0" applyFill="1" applyBorder="1" applyProtection="1">
      <protection hidden="1"/>
    </xf>
    <xf numFmtId="0" fontId="20" fillId="7" borderId="25" xfId="0" applyFont="1" applyFill="1" applyBorder="1" applyProtection="1">
      <protection hidden="1"/>
    </xf>
    <xf numFmtId="1" fontId="0" fillId="2" borderId="1" xfId="0" applyNumberFormat="1" applyFill="1" applyBorder="1" applyAlignment="1" applyProtection="1">
      <alignment horizontal="center"/>
      <protection hidden="1"/>
    </xf>
    <xf numFmtId="0" fontId="40" fillId="0" borderId="1" xfId="0" applyFont="1" applyBorder="1" applyProtection="1">
      <protection hidden="1"/>
    </xf>
    <xf numFmtId="0" fontId="40" fillId="0" borderId="1" xfId="0" applyFont="1" applyBorder="1" applyAlignment="1" applyProtection="1">
      <alignment horizontal="center"/>
      <protection hidden="1"/>
    </xf>
    <xf numFmtId="0" fontId="0" fillId="0" borderId="20" xfId="0" applyBorder="1" applyProtection="1">
      <protection hidden="1"/>
    </xf>
    <xf numFmtId="0" fontId="0" fillId="0" borderId="4" xfId="0" applyBorder="1" applyProtection="1">
      <protection hidden="1"/>
    </xf>
    <xf numFmtId="1" fontId="64" fillId="15" borderId="58" xfId="0" applyNumberFormat="1" applyFont="1" applyFill="1" applyBorder="1" applyAlignment="1" applyProtection="1">
      <alignment horizontal="center"/>
      <protection hidden="1"/>
    </xf>
    <xf numFmtId="0" fontId="0" fillId="0" borderId="38" xfId="0" applyBorder="1" applyAlignment="1" applyProtection="1">
      <alignment horizontal="center"/>
      <protection hidden="1"/>
    </xf>
    <xf numFmtId="0" fontId="0" fillId="0" borderId="25" xfId="0" applyBorder="1" applyAlignment="1" applyProtection="1">
      <alignment horizontal="center"/>
      <protection hidden="1"/>
    </xf>
    <xf numFmtId="0" fontId="0" fillId="0" borderId="5" xfId="0" applyBorder="1" applyAlignment="1" applyProtection="1">
      <alignment horizontal="center"/>
      <protection hidden="1"/>
    </xf>
    <xf numFmtId="0" fontId="0" fillId="0" borderId="29" xfId="0" applyBorder="1" applyAlignment="1" applyProtection="1">
      <alignment horizontal="center"/>
      <protection hidden="1"/>
    </xf>
    <xf numFmtId="0" fontId="0" fillId="5" borderId="38" xfId="0" applyFill="1" applyBorder="1" applyAlignment="1" applyProtection="1">
      <alignment horizontal="center"/>
      <protection hidden="1"/>
    </xf>
    <xf numFmtId="0" fontId="10" fillId="5" borderId="38" xfId="0" applyFont="1" applyFill="1" applyBorder="1" applyAlignment="1" applyProtection="1">
      <alignment horizontal="center"/>
      <protection hidden="1"/>
    </xf>
    <xf numFmtId="0" fontId="10" fillId="5" borderId="1" xfId="0" applyFont="1" applyFill="1" applyBorder="1" applyAlignment="1" applyProtection="1">
      <alignment horizontal="center"/>
      <protection hidden="1"/>
    </xf>
    <xf numFmtId="0" fontId="10" fillId="5" borderId="25" xfId="0" applyFont="1" applyFill="1" applyBorder="1" applyAlignment="1" applyProtection="1">
      <alignment horizontal="center"/>
      <protection hidden="1"/>
    </xf>
    <xf numFmtId="0" fontId="10" fillId="5" borderId="5" xfId="0" applyFont="1" applyFill="1" applyBorder="1" applyAlignment="1" applyProtection="1">
      <alignment horizontal="center"/>
      <protection hidden="1"/>
    </xf>
    <xf numFmtId="0" fontId="0" fillId="0" borderId="35" xfId="0" applyBorder="1" applyAlignment="1" applyProtection="1">
      <alignment horizontal="center"/>
      <protection hidden="1"/>
    </xf>
    <xf numFmtId="0" fontId="20" fillId="7" borderId="38" xfId="0" applyFont="1" applyFill="1" applyBorder="1" applyAlignment="1" applyProtection="1">
      <alignment horizontal="center"/>
      <protection hidden="1"/>
    </xf>
    <xf numFmtId="0" fontId="20" fillId="7" borderId="1" xfId="0" applyFont="1" applyFill="1" applyBorder="1" applyAlignment="1" applyProtection="1">
      <alignment horizontal="center"/>
      <protection hidden="1"/>
    </xf>
    <xf numFmtId="0" fontId="20" fillId="7" borderId="25" xfId="0" applyFont="1" applyFill="1" applyBorder="1" applyAlignment="1" applyProtection="1">
      <alignment horizontal="center"/>
      <protection hidden="1"/>
    </xf>
    <xf numFmtId="0" fontId="20" fillId="7" borderId="5" xfId="0" applyFont="1" applyFill="1" applyBorder="1" applyAlignment="1" applyProtection="1">
      <alignment horizontal="center"/>
      <protection hidden="1"/>
    </xf>
    <xf numFmtId="0" fontId="0" fillId="0" borderId="0" xfId="0" applyAlignment="1">
      <alignment horizontal="center"/>
    </xf>
    <xf numFmtId="0" fontId="65" fillId="11" borderId="1" xfId="0" applyFont="1" applyFill="1" applyBorder="1" applyAlignment="1">
      <alignment horizontal="left" vertical="center" wrapText="1"/>
    </xf>
    <xf numFmtId="0" fontId="47" fillId="15" borderId="31" xfId="0" applyFont="1" applyFill="1" applyBorder="1" applyAlignment="1" applyProtection="1">
      <alignment horizontal="center"/>
      <protection hidden="1"/>
    </xf>
    <xf numFmtId="0" fontId="63" fillId="11" borderId="1" xfId="0" applyFont="1" applyFill="1" applyBorder="1" applyAlignment="1" applyProtection="1">
      <alignment horizontal="center"/>
      <protection hidden="1"/>
    </xf>
    <xf numFmtId="0" fontId="12" fillId="4" borderId="76" xfId="0" applyFont="1" applyFill="1" applyBorder="1" applyProtection="1">
      <protection hidden="1"/>
    </xf>
    <xf numFmtId="0" fontId="47" fillId="15" borderId="77" xfId="0" applyFont="1" applyFill="1" applyBorder="1" applyAlignment="1" applyProtection="1">
      <alignment horizontal="center"/>
      <protection hidden="1"/>
    </xf>
    <xf numFmtId="0" fontId="11" fillId="11" borderId="6" xfId="0" applyFont="1" applyFill="1" applyBorder="1" applyAlignment="1" applyProtection="1">
      <alignment horizontal="center" vertical="center"/>
      <protection hidden="1"/>
    </xf>
    <xf numFmtId="1" fontId="0" fillId="11" borderId="50" xfId="0" applyNumberFormat="1" applyFill="1" applyBorder="1" applyAlignment="1" applyProtection="1">
      <alignment horizontal="center"/>
      <protection hidden="1"/>
    </xf>
    <xf numFmtId="0" fontId="0" fillId="0" borderId="1" xfId="0" applyBorder="1"/>
    <xf numFmtId="0" fontId="12" fillId="4" borderId="2" xfId="0" applyFont="1" applyFill="1" applyBorder="1" applyProtection="1">
      <protection hidden="1"/>
    </xf>
    <xf numFmtId="0" fontId="63" fillId="11" borderId="6" xfId="0" applyFont="1" applyFill="1" applyBorder="1" applyAlignment="1" applyProtection="1">
      <alignment horizontal="center"/>
      <protection hidden="1"/>
    </xf>
    <xf numFmtId="0" fontId="12" fillId="4" borderId="37" xfId="0" applyFont="1" applyFill="1" applyBorder="1" applyProtection="1">
      <protection hidden="1"/>
    </xf>
    <xf numFmtId="0" fontId="47" fillId="15" borderId="1" xfId="0" applyFont="1" applyFill="1" applyBorder="1" applyAlignment="1" applyProtection="1">
      <alignment horizontal="center"/>
      <protection hidden="1"/>
    </xf>
    <xf numFmtId="0" fontId="11" fillId="4" borderId="78" xfId="0" applyFont="1" applyFill="1" applyBorder="1" applyAlignment="1" applyProtection="1">
      <alignment horizontal="center"/>
      <protection hidden="1"/>
    </xf>
    <xf numFmtId="0" fontId="11" fillId="4" borderId="1" xfId="0" applyFont="1" applyFill="1" applyBorder="1" applyAlignment="1" applyProtection="1">
      <alignment horizontal="center"/>
      <protection hidden="1"/>
    </xf>
    <xf numFmtId="1" fontId="64" fillId="15" borderId="73" xfId="0" applyNumberFormat="1" applyFont="1" applyFill="1" applyBorder="1" applyAlignment="1" applyProtection="1">
      <alignment horizontal="center"/>
      <protection hidden="1"/>
    </xf>
    <xf numFmtId="0" fontId="50" fillId="5" borderId="79" xfId="0" applyFont="1" applyFill="1" applyBorder="1" applyAlignment="1" applyProtection="1">
      <alignment horizontal="center"/>
      <protection hidden="1"/>
    </xf>
    <xf numFmtId="0" fontId="52" fillId="4" borderId="79" xfId="0" applyFont="1" applyFill="1" applyBorder="1" applyAlignment="1" applyProtection="1">
      <alignment horizontal="center" vertical="center"/>
      <protection hidden="1"/>
    </xf>
    <xf numFmtId="0" fontId="65" fillId="11" borderId="4" xfId="0" applyFont="1" applyFill="1" applyBorder="1" applyAlignment="1">
      <alignment horizontal="left" vertical="center" wrapText="1"/>
    </xf>
    <xf numFmtId="0" fontId="0" fillId="6" borderId="1" xfId="0" applyFill="1" applyBorder="1"/>
    <xf numFmtId="0" fontId="63" fillId="11" borderId="2" xfId="0" applyFont="1" applyFill="1" applyBorder="1" applyAlignment="1" applyProtection="1">
      <alignment horizontal="center"/>
      <protection hidden="1"/>
    </xf>
    <xf numFmtId="1" fontId="0" fillId="11" borderId="1" xfId="0" applyNumberFormat="1" applyFill="1" applyBorder="1" applyAlignment="1" applyProtection="1">
      <alignment horizontal="center"/>
      <protection hidden="1"/>
    </xf>
    <xf numFmtId="0" fontId="12" fillId="4" borderId="4" xfId="0" applyFont="1" applyFill="1" applyBorder="1" applyProtection="1">
      <protection hidden="1"/>
    </xf>
    <xf numFmtId="0" fontId="1" fillId="17" borderId="0" xfId="1" applyFill="1" applyAlignment="1">
      <alignment vertical="center"/>
    </xf>
    <xf numFmtId="0" fontId="66" fillId="17" borderId="0" xfId="1" applyFont="1" applyFill="1" applyAlignment="1">
      <alignment horizontal="center" vertical="center"/>
    </xf>
    <xf numFmtId="0" fontId="65" fillId="18" borderId="1" xfId="0" applyFont="1" applyFill="1" applyBorder="1" applyAlignment="1">
      <alignment horizontal="left" vertical="center" wrapText="1"/>
    </xf>
    <xf numFmtId="2" fontId="0" fillId="0" borderId="0" xfId="0" applyNumberFormat="1"/>
    <xf numFmtId="0" fontId="30" fillId="13" borderId="51" xfId="0" applyFont="1" applyFill="1" applyBorder="1" applyAlignment="1" applyProtection="1">
      <alignment horizontal="center" textRotation="90"/>
      <protection hidden="1"/>
    </xf>
    <xf numFmtId="0" fontId="30" fillId="13" borderId="37" xfId="0" applyFont="1" applyFill="1" applyBorder="1" applyAlignment="1" applyProtection="1">
      <alignment horizontal="center" textRotation="90"/>
      <protection hidden="1"/>
    </xf>
    <xf numFmtId="0" fontId="31" fillId="13" borderId="59" xfId="0" applyFont="1" applyFill="1" applyBorder="1" applyAlignment="1" applyProtection="1">
      <alignment horizontal="center" vertical="center"/>
      <protection hidden="1"/>
    </xf>
    <xf numFmtId="0" fontId="31" fillId="13" borderId="60" xfId="0" applyFont="1" applyFill="1" applyBorder="1" applyAlignment="1" applyProtection="1">
      <alignment horizontal="center" vertical="center"/>
      <protection hidden="1"/>
    </xf>
    <xf numFmtId="0" fontId="31" fillId="13" borderId="61" xfId="0" applyFont="1" applyFill="1" applyBorder="1" applyAlignment="1" applyProtection="1">
      <alignment horizontal="center" vertical="center"/>
      <protection hidden="1"/>
    </xf>
    <xf numFmtId="0" fontId="31" fillId="13" borderId="62" xfId="0" applyFont="1" applyFill="1" applyBorder="1" applyAlignment="1" applyProtection="1">
      <alignment horizontal="center" vertical="center"/>
      <protection hidden="1"/>
    </xf>
    <xf numFmtId="0" fontId="30" fillId="13" borderId="14" xfId="0" applyFont="1" applyFill="1" applyBorder="1" applyAlignment="1" applyProtection="1">
      <alignment horizontal="center" textRotation="90"/>
      <protection hidden="1"/>
    </xf>
    <xf numFmtId="0" fontId="30" fillId="13" borderId="72" xfId="0" applyFont="1" applyFill="1" applyBorder="1" applyAlignment="1" applyProtection="1">
      <alignment horizontal="center" textRotation="90"/>
      <protection hidden="1"/>
    </xf>
    <xf numFmtId="0" fontId="30" fillId="5" borderId="57" xfId="0" applyFont="1" applyFill="1" applyBorder="1" applyAlignment="1" applyProtection="1">
      <alignment horizontal="center" textRotation="90"/>
      <protection hidden="1"/>
    </xf>
    <xf numFmtId="0" fontId="30" fillId="5" borderId="30" xfId="0" applyFont="1" applyFill="1" applyBorder="1" applyAlignment="1" applyProtection="1">
      <alignment horizontal="center" textRotation="90"/>
      <protection hidden="1"/>
    </xf>
    <xf numFmtId="0" fontId="10" fillId="0" borderId="0" xfId="0" applyFont="1" applyAlignment="1">
      <alignment horizontal="center"/>
    </xf>
    <xf numFmtId="0" fontId="30" fillId="13" borderId="55" xfId="0" applyFont="1" applyFill="1" applyBorder="1" applyAlignment="1" applyProtection="1">
      <alignment horizontal="center" textRotation="90"/>
      <protection hidden="1"/>
    </xf>
    <xf numFmtId="0" fontId="30" fillId="13" borderId="36" xfId="0" applyFont="1" applyFill="1" applyBorder="1" applyAlignment="1" applyProtection="1">
      <alignment horizontal="center" textRotation="90"/>
      <protection hidden="1"/>
    </xf>
    <xf numFmtId="0" fontId="22" fillId="2" borderId="22" xfId="1" applyFont="1" applyFill="1" applyBorder="1" applyAlignment="1">
      <alignment horizontal="center" vertical="center"/>
    </xf>
    <xf numFmtId="0" fontId="22" fillId="2" borderId="23" xfId="1" applyFont="1" applyFill="1" applyBorder="1" applyAlignment="1">
      <alignment horizontal="center" vertical="center"/>
    </xf>
    <xf numFmtId="0" fontId="67" fillId="17" borderId="0" xfId="1" applyFont="1" applyFill="1" applyAlignment="1">
      <alignment horizontal="center" vertical="center"/>
    </xf>
    <xf numFmtId="0" fontId="22" fillId="2" borderId="26" xfId="1" applyFont="1" applyFill="1" applyBorder="1" applyAlignment="1">
      <alignment horizontal="center" vertical="center"/>
    </xf>
    <xf numFmtId="0" fontId="22" fillId="2" borderId="27" xfId="1" applyFont="1" applyFill="1" applyBorder="1" applyAlignment="1">
      <alignment horizontal="center" vertical="center"/>
    </xf>
    <xf numFmtId="0" fontId="22" fillId="2" borderId="70" xfId="1" applyFont="1" applyFill="1" applyBorder="1" applyAlignment="1">
      <alignment horizontal="center" vertical="center"/>
    </xf>
    <xf numFmtId="0" fontId="22" fillId="2" borderId="71" xfId="1" applyFont="1" applyFill="1" applyBorder="1" applyAlignment="1">
      <alignment horizontal="center" vertical="center"/>
    </xf>
    <xf numFmtId="0" fontId="22" fillId="2" borderId="21" xfId="1" applyFont="1" applyFill="1" applyBorder="1" applyAlignment="1">
      <alignment horizontal="center" vertical="center"/>
    </xf>
    <xf numFmtId="0" fontId="22" fillId="2" borderId="13" xfId="1" applyFont="1" applyFill="1" applyBorder="1" applyAlignment="1">
      <alignment horizontal="center" vertical="center"/>
    </xf>
    <xf numFmtId="0" fontId="8" fillId="3" borderId="74" xfId="0" applyFont="1" applyFill="1" applyBorder="1" applyAlignment="1" applyProtection="1">
      <alignment horizontal="center" vertical="center" wrapText="1"/>
      <protection hidden="1"/>
    </xf>
    <xf numFmtId="0" fontId="8" fillId="3" borderId="75" xfId="0" applyFont="1" applyFill="1" applyBorder="1" applyAlignment="1" applyProtection="1">
      <alignment horizontal="center" vertical="center" wrapText="1"/>
      <protection hidden="1"/>
    </xf>
    <xf numFmtId="0" fontId="3" fillId="3" borderId="14" xfId="0" applyFont="1" applyFill="1" applyBorder="1" applyAlignment="1" applyProtection="1">
      <alignment horizontal="center" vertical="center"/>
      <protection hidden="1"/>
    </xf>
    <xf numFmtId="0" fontId="3" fillId="3" borderId="15" xfId="0" applyFont="1" applyFill="1" applyBorder="1" applyAlignment="1" applyProtection="1">
      <alignment horizontal="center" vertical="center"/>
      <protection hidden="1"/>
    </xf>
    <xf numFmtId="0" fontId="3" fillId="3" borderId="55" xfId="0" applyFont="1" applyFill="1" applyBorder="1" applyAlignment="1" applyProtection="1">
      <alignment horizontal="center" vertical="center"/>
      <protection hidden="1"/>
    </xf>
    <xf numFmtId="0" fontId="3" fillId="3" borderId="24" xfId="0" applyFont="1" applyFill="1" applyBorder="1" applyAlignment="1" applyProtection="1">
      <alignment horizontal="center" vertical="center"/>
      <protection hidden="1"/>
    </xf>
    <xf numFmtId="0" fontId="14" fillId="0" borderId="0" xfId="0" applyFont="1" applyAlignment="1" applyProtection="1">
      <alignment horizontal="center"/>
      <protection hidden="1"/>
    </xf>
    <xf numFmtId="0" fontId="15" fillId="0" borderId="0" xfId="0" applyFont="1" applyAlignment="1" applyProtection="1">
      <alignment horizontal="center"/>
      <protection hidden="1"/>
    </xf>
    <xf numFmtId="0" fontId="0" fillId="0" borderId="19" xfId="0" applyBorder="1" applyAlignment="1" applyProtection="1">
      <alignment horizontal="left"/>
      <protection hidden="1"/>
    </xf>
    <xf numFmtId="0" fontId="18" fillId="0" borderId="1" xfId="2" applyFont="1" applyBorder="1" applyAlignment="1" applyProtection="1">
      <alignment horizontal="center" vertical="center" wrapText="1"/>
      <protection hidden="1"/>
    </xf>
    <xf numFmtId="0" fontId="18" fillId="0" borderId="1" xfId="0" applyFont="1" applyBorder="1" applyAlignment="1" applyProtection="1">
      <alignment horizontal="center" vertical="center" wrapText="1"/>
      <protection hidden="1"/>
    </xf>
    <xf numFmtId="0" fontId="24" fillId="0" borderId="10" xfId="1" applyFont="1" applyBorder="1" applyAlignment="1" applyProtection="1">
      <alignment horizontal="center" vertical="center"/>
      <protection hidden="1"/>
    </xf>
    <xf numFmtId="0" fontId="24" fillId="0" borderId="32" xfId="1" applyFont="1" applyBorder="1" applyAlignment="1" applyProtection="1">
      <alignment horizontal="center" vertical="center"/>
      <protection hidden="1"/>
    </xf>
    <xf numFmtId="0" fontId="27" fillId="12" borderId="2" xfId="2" applyFont="1" applyFill="1" applyBorder="1" applyAlignment="1" applyProtection="1">
      <alignment horizontal="center" vertical="center" wrapText="1"/>
      <protection hidden="1"/>
    </xf>
    <xf numFmtId="0" fontId="27" fillId="12" borderId="37" xfId="2" applyFont="1" applyFill="1" applyBorder="1" applyAlignment="1" applyProtection="1">
      <alignment horizontal="center" vertical="center" wrapText="1"/>
      <protection hidden="1"/>
    </xf>
    <xf numFmtId="0" fontId="27" fillId="12" borderId="3" xfId="2" applyFont="1" applyFill="1" applyBorder="1" applyAlignment="1" applyProtection="1">
      <alignment horizontal="center" vertical="center" wrapText="1"/>
      <protection hidden="1"/>
    </xf>
    <xf numFmtId="0" fontId="43" fillId="0" borderId="0" xfId="0" applyFont="1" applyAlignment="1" applyProtection="1">
      <alignment horizontal="center" vertical="center"/>
      <protection hidden="1"/>
    </xf>
    <xf numFmtId="0" fontId="16" fillId="0" borderId="1" xfId="0" applyFont="1" applyBorder="1" applyAlignment="1" applyProtection="1">
      <alignment horizontal="center" vertical="center"/>
      <protection hidden="1"/>
    </xf>
    <xf numFmtId="0" fontId="26" fillId="0" borderId="2" xfId="0" applyFont="1" applyBorder="1" applyAlignment="1" applyProtection="1">
      <alignment horizontal="left" vertical="center"/>
      <protection hidden="1"/>
    </xf>
    <xf numFmtId="0" fontId="26" fillId="0" borderId="1" xfId="0" applyFont="1" applyBorder="1" applyAlignment="1" applyProtection="1">
      <alignment horizontal="left" vertical="center"/>
      <protection hidden="1"/>
    </xf>
    <xf numFmtId="0" fontId="21" fillId="12" borderId="2" xfId="0" applyFont="1" applyFill="1" applyBorder="1" applyAlignment="1" applyProtection="1">
      <alignment horizontal="center" wrapText="1"/>
      <protection hidden="1"/>
    </xf>
    <xf numFmtId="0" fontId="21" fillId="12" borderId="37" xfId="0" applyFont="1" applyFill="1" applyBorder="1" applyAlignment="1" applyProtection="1">
      <alignment horizontal="center" wrapText="1"/>
      <protection hidden="1"/>
    </xf>
    <xf numFmtId="166" fontId="0" fillId="0" borderId="1" xfId="0" applyNumberFormat="1" applyBorder="1" applyAlignment="1" applyProtection="1">
      <alignment horizontal="center"/>
      <protection hidden="1"/>
    </xf>
    <xf numFmtId="0" fontId="21" fillId="12" borderId="3" xfId="0" applyFont="1" applyFill="1" applyBorder="1" applyAlignment="1" applyProtection="1">
      <alignment horizontal="center" wrapText="1"/>
      <protection hidden="1"/>
    </xf>
    <xf numFmtId="0" fontId="26" fillId="0" borderId="6" xfId="0" applyFont="1" applyBorder="1" applyAlignment="1" applyProtection="1">
      <alignment horizontal="left" vertical="center"/>
      <protection hidden="1"/>
    </xf>
    <xf numFmtId="0" fontId="24" fillId="0" borderId="4" xfId="1" applyFont="1" applyBorder="1" applyAlignment="1" applyProtection="1">
      <alignment horizontal="center" vertical="center"/>
      <protection hidden="1"/>
    </xf>
    <xf numFmtId="0" fontId="24" fillId="0" borderId="5" xfId="1" applyFont="1" applyBorder="1" applyAlignment="1" applyProtection="1">
      <alignment horizontal="center" vertical="center"/>
      <protection hidden="1"/>
    </xf>
    <xf numFmtId="0" fontId="43" fillId="0" borderId="32" xfId="0" applyFont="1" applyBorder="1" applyAlignment="1" applyProtection="1">
      <alignment horizontal="center" vertical="center"/>
      <protection hidden="1"/>
    </xf>
    <xf numFmtId="0" fontId="26" fillId="0" borderId="1" xfId="0" applyFont="1" applyBorder="1" applyAlignment="1" applyProtection="1">
      <alignment horizontal="center" vertical="center"/>
      <protection hidden="1"/>
    </xf>
    <xf numFmtId="0" fontId="18" fillId="0" borderId="4" xfId="2" applyFont="1" applyBorder="1" applyAlignment="1" applyProtection="1">
      <alignment horizontal="center" vertical="center" wrapText="1"/>
      <protection hidden="1"/>
    </xf>
    <xf numFmtId="0" fontId="18" fillId="0" borderId="35" xfId="2" applyFont="1" applyBorder="1" applyAlignment="1" applyProtection="1">
      <alignment horizontal="center" vertical="center" wrapText="1"/>
      <protection hidden="1"/>
    </xf>
    <xf numFmtId="0" fontId="10" fillId="0" borderId="19" xfId="0" applyFont="1" applyBorder="1" applyAlignment="1" applyProtection="1">
      <alignment horizontal="left"/>
      <protection hidden="1"/>
    </xf>
    <xf numFmtId="0" fontId="24" fillId="0" borderId="35" xfId="1" applyFont="1" applyBorder="1" applyAlignment="1" applyProtection="1">
      <alignment horizontal="center" vertical="center"/>
      <protection hidden="1"/>
    </xf>
    <xf numFmtId="166" fontId="0" fillId="0" borderId="4" xfId="0" applyNumberFormat="1" applyBorder="1" applyAlignment="1" applyProtection="1">
      <alignment horizontal="center"/>
      <protection hidden="1"/>
    </xf>
    <xf numFmtId="166" fontId="0" fillId="0" borderId="35" xfId="0" applyNumberFormat="1" applyBorder="1" applyAlignment="1" applyProtection="1">
      <alignment horizontal="center"/>
      <protection hidden="1"/>
    </xf>
    <xf numFmtId="0" fontId="16" fillId="0" borderId="2" xfId="0" applyFont="1" applyBorder="1" applyAlignment="1" applyProtection="1">
      <alignment horizontal="center" vertical="center"/>
      <protection hidden="1"/>
    </xf>
    <xf numFmtId="0" fontId="16" fillId="0" borderId="3" xfId="0" applyFont="1" applyBorder="1" applyAlignment="1" applyProtection="1">
      <alignment horizontal="center" vertical="center"/>
      <protection hidden="1"/>
    </xf>
    <xf numFmtId="0" fontId="26" fillId="0" borderId="4" xfId="0" applyFont="1" applyBorder="1" applyAlignment="1" applyProtection="1">
      <alignment horizontal="center" vertical="center"/>
      <protection hidden="1"/>
    </xf>
    <xf numFmtId="0" fontId="26" fillId="0" borderId="35" xfId="0" applyFont="1" applyBorder="1" applyAlignment="1" applyProtection="1">
      <alignment horizontal="center" vertical="center"/>
      <protection hidden="1"/>
    </xf>
    <xf numFmtId="0" fontId="26" fillId="0" borderId="5" xfId="0" applyFont="1" applyBorder="1" applyAlignment="1" applyProtection="1">
      <alignment horizontal="center" vertical="center"/>
      <protection hidden="1"/>
    </xf>
    <xf numFmtId="0" fontId="26" fillId="0" borderId="37" xfId="0" applyFont="1" applyBorder="1" applyAlignment="1" applyProtection="1">
      <alignment horizontal="left" vertical="center"/>
      <protection hidden="1"/>
    </xf>
    <xf numFmtId="0" fontId="26" fillId="0" borderId="3" xfId="0" applyFont="1" applyBorder="1" applyAlignment="1" applyProtection="1">
      <alignment horizontal="left" vertical="center"/>
      <protection hidden="1"/>
    </xf>
    <xf numFmtId="0" fontId="24" fillId="0" borderId="36" xfId="1" applyFont="1" applyBorder="1" applyAlignment="1" applyProtection="1">
      <alignment horizontal="center" vertical="center"/>
      <protection hidden="1"/>
    </xf>
    <xf numFmtId="0" fontId="24" fillId="0" borderId="0" xfId="1" applyFont="1" applyAlignment="1" applyProtection="1">
      <alignment horizontal="center" vertical="center"/>
      <protection hidden="1"/>
    </xf>
    <xf numFmtId="0" fontId="0" fillId="0" borderId="2" xfId="0" applyBorder="1" applyAlignment="1" applyProtection="1">
      <alignment horizontal="center"/>
      <protection hidden="1"/>
    </xf>
    <xf numFmtId="0" fontId="0" fillId="0" borderId="3" xfId="0" applyBorder="1" applyAlignment="1" applyProtection="1">
      <alignment horizontal="center"/>
      <protection hidden="1"/>
    </xf>
    <xf numFmtId="0" fontId="10" fillId="0" borderId="11" xfId="0" applyFont="1" applyBorder="1" applyAlignment="1" applyProtection="1">
      <alignment horizontal="center" vertical="center"/>
      <protection hidden="1"/>
    </xf>
    <xf numFmtId="0" fontId="10" fillId="0" borderId="12" xfId="0" applyFont="1" applyBorder="1" applyAlignment="1" applyProtection="1">
      <alignment horizontal="center" vertical="center"/>
      <protection hidden="1"/>
    </xf>
    <xf numFmtId="0" fontId="31" fillId="0" borderId="11" xfId="0" applyFont="1" applyBorder="1" applyAlignment="1" applyProtection="1">
      <alignment horizontal="center" vertical="center"/>
      <protection hidden="1"/>
    </xf>
    <xf numFmtId="0" fontId="31" fillId="0" borderId="12" xfId="0" applyFont="1" applyBorder="1" applyAlignment="1" applyProtection="1">
      <alignment horizontal="center" vertical="center"/>
      <protection hidden="1"/>
    </xf>
    <xf numFmtId="0" fontId="30" fillId="0" borderId="42" xfId="0" applyFont="1" applyBorder="1" applyAlignment="1" applyProtection="1">
      <alignment horizontal="center" vertical="center"/>
      <protection hidden="1"/>
    </xf>
    <xf numFmtId="0" fontId="30" fillId="0" borderId="43" xfId="0" applyFont="1" applyBorder="1" applyAlignment="1" applyProtection="1">
      <alignment horizontal="center" vertical="center"/>
      <protection hidden="1"/>
    </xf>
    <xf numFmtId="0" fontId="30" fillId="0" borderId="44" xfId="0" applyFont="1" applyBorder="1" applyAlignment="1" applyProtection="1">
      <alignment horizontal="center" vertical="center"/>
      <protection hidden="1"/>
    </xf>
    <xf numFmtId="0" fontId="10" fillId="0" borderId="8" xfId="0" applyFont="1" applyBorder="1" applyAlignment="1" applyProtection="1">
      <alignment horizontal="center" wrapText="1"/>
      <protection hidden="1"/>
    </xf>
    <xf numFmtId="0" fontId="10" fillId="0" borderId="52" xfId="0" applyFont="1" applyBorder="1" applyAlignment="1" applyProtection="1">
      <alignment horizontal="center" wrapText="1"/>
      <protection hidden="1"/>
    </xf>
    <xf numFmtId="0" fontId="10" fillId="0" borderId="29" xfId="0" applyFont="1" applyBorder="1" applyAlignment="1" applyProtection="1">
      <alignment horizontal="center"/>
      <protection hidden="1"/>
    </xf>
    <xf numFmtId="0" fontId="10" fillId="0" borderId="35" xfId="0" applyFont="1" applyBorder="1" applyAlignment="1" applyProtection="1">
      <alignment horizontal="center"/>
      <protection hidden="1"/>
    </xf>
    <xf numFmtId="0" fontId="10" fillId="0" borderId="49" xfId="0" applyFont="1" applyBorder="1" applyAlignment="1" applyProtection="1">
      <alignment horizontal="center"/>
      <protection hidden="1"/>
    </xf>
    <xf numFmtId="0" fontId="42" fillId="0" borderId="1" xfId="0" applyFont="1" applyBorder="1" applyAlignment="1" applyProtection="1">
      <alignment horizontal="center" textRotation="90"/>
      <protection hidden="1"/>
    </xf>
    <xf numFmtId="0" fontId="42" fillId="0" borderId="65" xfId="0" applyFont="1" applyBorder="1" applyAlignment="1" applyProtection="1">
      <alignment horizontal="center" textRotation="90"/>
      <protection hidden="1"/>
    </xf>
    <xf numFmtId="0" fontId="42" fillId="0" borderId="25" xfId="0" applyFont="1" applyBorder="1" applyAlignment="1" applyProtection="1">
      <alignment horizontal="center" textRotation="90"/>
      <protection hidden="1"/>
    </xf>
    <xf numFmtId="0" fontId="42" fillId="0" borderId="46" xfId="0" applyFont="1" applyBorder="1" applyAlignment="1" applyProtection="1">
      <alignment horizontal="center" textRotation="90"/>
      <protection hidden="1"/>
    </xf>
    <xf numFmtId="0" fontId="30" fillId="0" borderId="19" xfId="0" applyFont="1" applyBorder="1" applyAlignment="1" applyProtection="1">
      <alignment horizontal="center" vertical="top"/>
      <protection hidden="1"/>
    </xf>
    <xf numFmtId="0" fontId="10" fillId="0" borderId="4" xfId="0" applyFont="1" applyBorder="1" applyAlignment="1" applyProtection="1">
      <alignment horizontal="center"/>
      <protection hidden="1"/>
    </xf>
    <xf numFmtId="0" fontId="10" fillId="0" borderId="41" xfId="0" applyFont="1" applyBorder="1" applyAlignment="1" applyProtection="1">
      <alignment horizontal="center" vertical="center"/>
      <protection hidden="1"/>
    </xf>
    <xf numFmtId="0" fontId="10" fillId="0" borderId="4" xfId="0" applyFont="1" applyBorder="1" applyAlignment="1" applyProtection="1">
      <alignment horizontal="center" vertical="center"/>
      <protection hidden="1"/>
    </xf>
    <xf numFmtId="0" fontId="42" fillId="0" borderId="50" xfId="0" applyFont="1" applyBorder="1" applyAlignment="1" applyProtection="1">
      <alignment horizontal="center" textRotation="90"/>
      <protection hidden="1"/>
    </xf>
    <xf numFmtId="0" fontId="42" fillId="0" borderId="23" xfId="0" applyFont="1" applyBorder="1" applyAlignment="1" applyProtection="1">
      <alignment horizontal="center" textRotation="90"/>
      <protection hidden="1"/>
    </xf>
    <xf numFmtId="0" fontId="42" fillId="0" borderId="40" xfId="0" applyFont="1" applyBorder="1" applyAlignment="1" applyProtection="1">
      <alignment horizontal="center" textRotation="90"/>
      <protection hidden="1"/>
    </xf>
    <xf numFmtId="0" fontId="42" fillId="0" borderId="71" xfId="0" applyFont="1" applyBorder="1" applyAlignment="1" applyProtection="1">
      <alignment horizontal="center" textRotation="90"/>
      <protection hidden="1"/>
    </xf>
    <xf numFmtId="0" fontId="42" fillId="0" borderId="2" xfId="0" applyFont="1" applyBorder="1" applyAlignment="1" applyProtection="1">
      <alignment horizontal="center" textRotation="90"/>
      <protection hidden="1"/>
    </xf>
    <xf numFmtId="0" fontId="42" fillId="0" borderId="13" xfId="0" applyFont="1" applyBorder="1" applyAlignment="1" applyProtection="1">
      <alignment horizontal="center" textRotation="90"/>
      <protection hidden="1"/>
    </xf>
    <xf numFmtId="0" fontId="30" fillId="13" borderId="13" xfId="0" applyFont="1" applyFill="1" applyBorder="1" applyAlignment="1" applyProtection="1">
      <alignment horizontal="center" textRotation="90"/>
      <protection hidden="1"/>
    </xf>
    <xf numFmtId="0" fontId="30" fillId="13" borderId="56" xfId="0" applyFont="1" applyFill="1" applyBorder="1" applyAlignment="1" applyProtection="1">
      <alignment horizontal="center" textRotation="90"/>
      <protection hidden="1"/>
    </xf>
    <xf numFmtId="0" fontId="30" fillId="13" borderId="57" xfId="0" applyFont="1" applyFill="1" applyBorder="1" applyAlignment="1" applyProtection="1">
      <alignment horizontal="center" textRotation="90"/>
      <protection hidden="1"/>
    </xf>
    <xf numFmtId="0" fontId="30" fillId="13" borderId="30" xfId="0" applyFont="1" applyFill="1" applyBorder="1" applyAlignment="1" applyProtection="1">
      <alignment horizontal="center" textRotation="90"/>
      <protection hidden="1"/>
    </xf>
    <xf numFmtId="0" fontId="30" fillId="13" borderId="67" xfId="0" applyFont="1" applyFill="1" applyBorder="1" applyAlignment="1">
      <alignment horizontal="center" textRotation="90"/>
    </xf>
    <xf numFmtId="0" fontId="30" fillId="13" borderId="68" xfId="0" applyFont="1" applyFill="1" applyBorder="1" applyAlignment="1">
      <alignment horizontal="center" textRotation="90"/>
    </xf>
    <xf numFmtId="0" fontId="30" fillId="13" borderId="47" xfId="0" applyFont="1" applyFill="1" applyBorder="1" applyAlignment="1" applyProtection="1">
      <alignment horizontal="center" textRotation="90"/>
      <protection hidden="1"/>
    </xf>
    <xf numFmtId="0" fontId="30" fillId="13" borderId="2" xfId="0" applyFont="1" applyFill="1" applyBorder="1" applyAlignment="1">
      <alignment horizontal="center" textRotation="90"/>
    </xf>
    <xf numFmtId="0" fontId="30" fillId="13" borderId="3" xfId="0" applyFont="1" applyFill="1" applyBorder="1" applyAlignment="1">
      <alignment horizontal="center" textRotation="90"/>
    </xf>
    <xf numFmtId="0" fontId="31" fillId="2" borderId="66" xfId="0" applyFont="1" applyFill="1" applyBorder="1" applyAlignment="1" applyProtection="1">
      <alignment horizontal="center" vertical="center"/>
      <protection hidden="1"/>
    </xf>
    <xf numFmtId="0" fontId="31" fillId="2" borderId="53" xfId="0" applyFont="1" applyFill="1" applyBorder="1" applyAlignment="1" applyProtection="1">
      <alignment horizontal="center" vertical="center"/>
      <protection hidden="1"/>
    </xf>
    <xf numFmtId="0" fontId="30" fillId="2" borderId="51" xfId="0" applyFont="1" applyFill="1" applyBorder="1" applyAlignment="1" applyProtection="1">
      <alignment horizontal="center" textRotation="90"/>
      <protection hidden="1"/>
    </xf>
    <xf numFmtId="0" fontId="30" fillId="2" borderId="37" xfId="0" applyFont="1" applyFill="1" applyBorder="1" applyAlignment="1" applyProtection="1">
      <alignment horizontal="center" textRotation="90"/>
      <protection hidden="1"/>
    </xf>
    <xf numFmtId="0" fontId="30" fillId="2" borderId="14" xfId="0" applyFont="1" applyFill="1" applyBorder="1" applyAlignment="1" applyProtection="1">
      <alignment horizontal="center" textRotation="90"/>
      <protection hidden="1"/>
    </xf>
    <xf numFmtId="0" fontId="30" fillId="2" borderId="72" xfId="0" applyFont="1" applyFill="1" applyBorder="1" applyAlignment="1" applyProtection="1">
      <alignment horizontal="center" textRotation="90"/>
      <protection hidden="1"/>
    </xf>
    <xf numFmtId="0" fontId="30" fillId="2" borderId="57" xfId="0" applyFont="1" applyFill="1" applyBorder="1" applyAlignment="1" applyProtection="1">
      <alignment horizontal="center" textRotation="90"/>
      <protection hidden="1"/>
    </xf>
    <xf numFmtId="0" fontId="30" fillId="2" borderId="30" xfId="0" applyFont="1" applyFill="1" applyBorder="1" applyAlignment="1" applyProtection="1">
      <alignment horizontal="center" textRotation="90"/>
      <protection hidden="1"/>
    </xf>
    <xf numFmtId="0" fontId="30" fillId="2" borderId="55" xfId="0" applyFont="1" applyFill="1" applyBorder="1" applyAlignment="1" applyProtection="1">
      <alignment horizontal="center" textRotation="90"/>
      <protection hidden="1"/>
    </xf>
    <xf numFmtId="0" fontId="30" fillId="2" borderId="36" xfId="0" applyFont="1" applyFill="1" applyBorder="1" applyAlignment="1" applyProtection="1">
      <alignment horizontal="center" textRotation="90"/>
      <protection hidden="1"/>
    </xf>
    <xf numFmtId="0" fontId="10" fillId="2" borderId="57" xfId="0" applyFont="1" applyFill="1" applyBorder="1" applyAlignment="1">
      <alignment horizontal="center" textRotation="90" wrapText="1"/>
    </xf>
    <xf numFmtId="0" fontId="10" fillId="2" borderId="30" xfId="0" applyFont="1" applyFill="1" applyBorder="1" applyAlignment="1">
      <alignment horizontal="center" textRotation="90" wrapText="1"/>
    </xf>
    <xf numFmtId="0" fontId="44" fillId="0" borderId="0" xfId="0" applyFont="1" applyAlignment="1" applyProtection="1">
      <alignment horizontal="center"/>
      <protection hidden="1"/>
    </xf>
    <xf numFmtId="0" fontId="39" fillId="0" borderId="0" xfId="0" applyFont="1" applyAlignment="1" applyProtection="1">
      <alignment horizontal="center"/>
      <protection hidden="1"/>
    </xf>
    <xf numFmtId="0" fontId="36" fillId="0" borderId="0" xfId="0" applyFont="1" applyAlignment="1" applyProtection="1">
      <alignment horizontal="center"/>
      <protection hidden="1"/>
    </xf>
    <xf numFmtId="164" fontId="37" fillId="0" borderId="0" xfId="3" applyFont="1" applyAlignment="1" applyProtection="1">
      <alignment horizontal="center"/>
      <protection hidden="1"/>
    </xf>
    <xf numFmtId="0" fontId="38" fillId="0" borderId="0" xfId="0" applyFont="1" applyAlignment="1" applyProtection="1">
      <alignment horizontal="center"/>
      <protection hidden="1"/>
    </xf>
    <xf numFmtId="0" fontId="38" fillId="0" borderId="0" xfId="0" applyFont="1" applyAlignment="1" applyProtection="1">
      <alignment horizontal="left"/>
      <protection hidden="1"/>
    </xf>
    <xf numFmtId="0" fontId="31" fillId="0" borderId="0" xfId="0" applyFont="1" applyAlignment="1" applyProtection="1">
      <alignment horizontal="center"/>
      <protection hidden="1"/>
    </xf>
    <xf numFmtId="0" fontId="10" fillId="16" borderId="38" xfId="0" applyFont="1" applyFill="1" applyBorder="1" applyAlignment="1" applyProtection="1">
      <alignment horizontal="center"/>
      <protection hidden="1"/>
    </xf>
    <xf numFmtId="0" fontId="10" fillId="16" borderId="1" xfId="0" applyFont="1" applyFill="1" applyBorder="1" applyAlignment="1" applyProtection="1">
      <alignment horizontal="center"/>
      <protection hidden="1"/>
    </xf>
    <xf numFmtId="0" fontId="10" fillId="16" borderId="25" xfId="0" applyFont="1" applyFill="1" applyBorder="1" applyAlignment="1" applyProtection="1">
      <alignment horizontal="center"/>
      <protection hidden="1"/>
    </xf>
    <xf numFmtId="0" fontId="10" fillId="16" borderId="4" xfId="0" applyFont="1" applyFill="1" applyBorder="1" applyAlignment="1" applyProtection="1">
      <alignment horizontal="center"/>
      <protection hidden="1"/>
    </xf>
    <xf numFmtId="0" fontId="42" fillId="0" borderId="24" xfId="0" applyFont="1" applyBorder="1" applyAlignment="1" applyProtection="1">
      <alignment horizontal="center" textRotation="90"/>
      <protection hidden="1"/>
    </xf>
    <xf numFmtId="0" fontId="42" fillId="0" borderId="38" xfId="0" applyFont="1" applyBorder="1" applyAlignment="1" applyProtection="1">
      <alignment horizontal="center" textRotation="90"/>
      <protection hidden="1"/>
    </xf>
    <xf numFmtId="0" fontId="47" fillId="16" borderId="4" xfId="0" applyFont="1" applyFill="1" applyBorder="1" applyAlignment="1" applyProtection="1">
      <alignment horizontal="center"/>
      <protection hidden="1"/>
    </xf>
    <xf numFmtId="0" fontId="47" fillId="16" borderId="35" xfId="0" applyFont="1" applyFill="1" applyBorder="1" applyAlignment="1" applyProtection="1">
      <alignment horizontal="center"/>
      <protection hidden="1"/>
    </xf>
    <xf numFmtId="0" fontId="47" fillId="16" borderId="5" xfId="0" applyFont="1" applyFill="1" applyBorder="1" applyAlignment="1" applyProtection="1">
      <alignment horizontal="center"/>
      <protection hidden="1"/>
    </xf>
    <xf numFmtId="0" fontId="10" fillId="16" borderId="5" xfId="0" applyFont="1" applyFill="1" applyBorder="1" applyAlignment="1" applyProtection="1">
      <alignment horizontal="center"/>
      <protection hidden="1"/>
    </xf>
    <xf numFmtId="0" fontId="47" fillId="16" borderId="29" xfId="0" applyFont="1" applyFill="1" applyBorder="1" applyAlignment="1" applyProtection="1">
      <alignment horizontal="center"/>
      <protection hidden="1"/>
    </xf>
    <xf numFmtId="0" fontId="47" fillId="16" borderId="49" xfId="0" applyFont="1" applyFill="1" applyBorder="1" applyAlignment="1" applyProtection="1">
      <alignment horizontal="center"/>
      <protection hidden="1"/>
    </xf>
    <xf numFmtId="0" fontId="47" fillId="16" borderId="38" xfId="0" applyFont="1" applyFill="1" applyBorder="1" applyAlignment="1" applyProtection="1">
      <alignment horizontal="center"/>
      <protection hidden="1"/>
    </xf>
    <xf numFmtId="0" fontId="47" fillId="16" borderId="1" xfId="0" applyFont="1" applyFill="1" applyBorder="1" applyAlignment="1" applyProtection="1">
      <alignment horizontal="center"/>
      <protection hidden="1"/>
    </xf>
    <xf numFmtId="0" fontId="10" fillId="0" borderId="5" xfId="0" applyFont="1" applyBorder="1" applyAlignment="1" applyProtection="1">
      <alignment horizontal="center"/>
      <protection hidden="1"/>
    </xf>
    <xf numFmtId="0" fontId="10" fillId="0" borderId="1" xfId="0" applyFont="1" applyBorder="1" applyAlignment="1" applyProtection="1">
      <alignment horizontal="center"/>
      <protection hidden="1"/>
    </xf>
    <xf numFmtId="0" fontId="47" fillId="0" borderId="38" xfId="0" applyFont="1" applyBorder="1" applyAlignment="1" applyProtection="1">
      <alignment horizontal="center"/>
      <protection hidden="1"/>
    </xf>
    <xf numFmtId="0" fontId="47" fillId="0" borderId="1" xfId="0" applyFont="1" applyBorder="1" applyAlignment="1" applyProtection="1">
      <alignment horizontal="center"/>
      <protection hidden="1"/>
    </xf>
    <xf numFmtId="0" fontId="47" fillId="0" borderId="4" xfId="0" applyFont="1" applyBorder="1" applyAlignment="1" applyProtection="1">
      <alignment horizontal="center"/>
      <protection hidden="1"/>
    </xf>
    <xf numFmtId="0" fontId="47" fillId="0" borderId="35" xfId="0" applyFont="1" applyBorder="1" applyAlignment="1" applyProtection="1">
      <alignment horizontal="center"/>
      <protection hidden="1"/>
    </xf>
    <xf numFmtId="0" fontId="47" fillId="0" borderId="5" xfId="0" applyFont="1" applyBorder="1" applyAlignment="1" applyProtection="1">
      <alignment horizontal="center"/>
      <protection hidden="1"/>
    </xf>
    <xf numFmtId="0" fontId="10" fillId="0" borderId="25" xfId="0" applyFont="1" applyBorder="1" applyAlignment="1" applyProtection="1">
      <alignment horizontal="center"/>
      <protection hidden="1"/>
    </xf>
    <xf numFmtId="0" fontId="10" fillId="0" borderId="38" xfId="0" applyFont="1" applyBorder="1" applyAlignment="1" applyProtection="1">
      <alignment horizontal="center"/>
      <protection hidden="1"/>
    </xf>
    <xf numFmtId="0" fontId="47" fillId="0" borderId="29" xfId="0" applyFont="1" applyBorder="1" applyAlignment="1" applyProtection="1">
      <alignment horizontal="center"/>
      <protection hidden="1"/>
    </xf>
    <xf numFmtId="0" fontId="47" fillId="0" borderId="49" xfId="0" applyFont="1" applyBorder="1" applyAlignment="1" applyProtection="1">
      <alignment horizontal="center"/>
      <protection hidden="1"/>
    </xf>
  </cellXfs>
  <cellStyles count="5">
    <cellStyle name="Currency" xfId="3" builtinId="4"/>
    <cellStyle name="Normal" xfId="0" builtinId="0"/>
    <cellStyle name="Normal 2" xfId="1" xr:uid="{00000000-0005-0000-0000-000002000000}"/>
    <cellStyle name="Normal 2 2" xfId="4" xr:uid="{00000000-0005-0000-0000-000003000000}"/>
    <cellStyle name="Normal 2 3" xfId="2" xr:uid="{00000000-0005-0000-0000-000004000000}"/>
  </cellStyles>
  <dxfs count="44">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dxf>
    <dxf>
      <font>
        <color rgb="FFFF0000"/>
      </font>
    </dxf>
    <dxf>
      <font>
        <color rgb="FFFF0000"/>
      </font>
    </dxf>
    <dxf>
      <font>
        <color rgb="FFFF0000"/>
      </font>
    </dxf>
    <dxf>
      <font>
        <color rgb="FFFF0000"/>
      </font>
      <fill>
        <patternFill patternType="none">
          <bgColor auto="1"/>
        </patternFill>
      </fill>
    </dxf>
    <dxf>
      <font>
        <color rgb="FFFF0000"/>
      </font>
    </dxf>
    <dxf>
      <font>
        <color rgb="FFFF0000"/>
      </font>
    </dxf>
    <dxf>
      <font>
        <color rgb="FFFF0000"/>
      </font>
    </dxf>
    <dxf>
      <font>
        <color rgb="FFFF0000"/>
      </font>
    </dxf>
    <dxf>
      <font>
        <color rgb="FFFF0000"/>
      </font>
    </dxf>
    <dxf>
      <font>
        <color rgb="FFFF0000"/>
      </font>
    </dxf>
    <dxf>
      <font>
        <strike val="0"/>
        <color rgb="FF00B050"/>
      </font>
    </dxf>
    <dxf>
      <font>
        <color rgb="FFFF0000"/>
      </font>
    </dxf>
    <dxf>
      <font>
        <color rgb="FF00B050"/>
      </font>
    </dxf>
    <dxf>
      <font>
        <strike val="0"/>
        <color rgb="FFFF0000"/>
      </font>
    </dxf>
    <dxf>
      <font>
        <strike val="0"/>
        <color rgb="FF00B050"/>
      </font>
    </dxf>
    <dxf>
      <font>
        <strike val="0"/>
        <color rgb="FFFF0000"/>
      </font>
    </dxf>
    <dxf>
      <font>
        <strike val="0"/>
        <color rgb="FF00B050"/>
      </font>
    </dxf>
    <dxf>
      <font>
        <color rgb="FFFF0000"/>
      </font>
    </dxf>
    <dxf>
      <font>
        <color rgb="FF00B050"/>
      </font>
    </dxf>
    <dxf>
      <font>
        <color rgb="FFFF0000"/>
      </font>
    </dxf>
    <dxf>
      <font>
        <color rgb="FF00B050"/>
      </font>
    </dxf>
    <dxf>
      <font>
        <color rgb="FFFF0000"/>
      </font>
    </dxf>
    <dxf>
      <font>
        <color rgb="FF00B050"/>
      </font>
    </dxf>
    <dxf>
      <font>
        <strike val="0"/>
        <color rgb="FFFF0000"/>
      </font>
    </dxf>
    <dxf>
      <font>
        <strike val="0"/>
        <color rgb="FF00B050"/>
      </font>
    </dxf>
    <dxf>
      <font>
        <color rgb="FFFF0000"/>
      </font>
    </dxf>
    <dxf>
      <font>
        <color rgb="FF00B050"/>
      </font>
    </dxf>
    <dxf>
      <font>
        <color rgb="FFFF0000"/>
      </font>
    </dxf>
    <dxf>
      <font>
        <color rgb="FF00B050"/>
      </font>
    </dxf>
    <dxf>
      <font>
        <color rgb="FFFF0000"/>
      </font>
    </dxf>
    <dxf>
      <font>
        <color rgb="FF00B050"/>
      </font>
    </dxf>
  </dxfs>
  <tableStyles count="0" defaultTableStyle="TableStyleMedium9" defaultPivotStyle="PivotStyleLight16"/>
  <colors>
    <mruColors>
      <color rgb="FFFFFF66"/>
      <color rgb="FFFFFF99"/>
      <color rgb="FF99FF66"/>
      <color rgb="FF95BD03"/>
      <color rgb="FF9BA51B"/>
      <color rgb="FF8BB20E"/>
      <color rgb="FF82302E"/>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GRAF.!$D$4</c:f>
              <c:strCache>
                <c:ptCount val="1"/>
                <c:pt idx="0">
                  <c:v>REP.</c:v>
                </c:pt>
              </c:strCache>
            </c:strRef>
          </c:tx>
          <c:invertIfNegative val="0"/>
          <c:dLbls>
            <c:spPr>
              <a:noFill/>
              <a:ln>
                <a:noFill/>
              </a:ln>
              <a:effectLst/>
            </c:spPr>
            <c:txPr>
              <a:bodyPr/>
              <a:lstStyle/>
              <a:p>
                <a:pPr>
                  <a:defRPr lang="es-ES" sz="1100" b="1"/>
                </a:pPr>
                <a:endParaRPr lang="es-B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GRAF.!$C$5:$C$15</c:f>
              <c:strCache>
                <c:ptCount val="11"/>
                <c:pt idx="0">
                  <c:v>LEN</c:v>
                </c:pt>
                <c:pt idx="1">
                  <c:v>ING</c:v>
                </c:pt>
                <c:pt idx="2">
                  <c:v>C. SOC</c:v>
                </c:pt>
                <c:pt idx="3">
                  <c:v>E. FIS</c:v>
                </c:pt>
                <c:pt idx="4">
                  <c:v>MUS</c:v>
                </c:pt>
                <c:pt idx="5">
                  <c:v>A. PL.</c:v>
                </c:pt>
                <c:pt idx="6">
                  <c:v>MAT</c:v>
                </c:pt>
                <c:pt idx="7">
                  <c:v>T. TEC.G.</c:v>
                </c:pt>
                <c:pt idx="8">
                  <c:v>BIO-GEO</c:v>
                </c:pt>
                <c:pt idx="9">
                  <c:v>PSI</c:v>
                </c:pt>
                <c:pt idx="10">
                  <c:v>REL</c:v>
                </c:pt>
              </c:strCache>
            </c:strRef>
          </c:cat>
          <c:val>
            <c:numRef>
              <c:f>GRAF.!$D$5:$D$15</c:f>
              <c:numCache>
                <c:formatCode>0</c:formatCode>
                <c:ptCount val="11"/>
                <c:pt idx="0">
                  <c:v>28.571428571428569</c:v>
                </c:pt>
                <c:pt idx="1">
                  <c:v>22.857142857142847</c:v>
                </c:pt>
                <c:pt idx="2">
                  <c:v>28.571428571428569</c:v>
                </c:pt>
                <c:pt idx="3">
                  <c:v>5.7142857142857224</c:v>
                </c:pt>
                <c:pt idx="4">
                  <c:v>11.428571428571431</c:v>
                </c:pt>
                <c:pt idx="5">
                  <c:v>0</c:v>
                </c:pt>
                <c:pt idx="6">
                  <c:v>22.857142857142847</c:v>
                </c:pt>
                <c:pt idx="7">
                  <c:v>11.428571428571431</c:v>
                </c:pt>
                <c:pt idx="8">
                  <c:v>5.7142857142857224</c:v>
                </c:pt>
                <c:pt idx="9">
                  <c:v>14.285714285714292</c:v>
                </c:pt>
                <c:pt idx="10">
                  <c:v>0</c:v>
                </c:pt>
              </c:numCache>
            </c:numRef>
          </c:val>
          <c:extLst>
            <c:ext xmlns:c16="http://schemas.microsoft.com/office/drawing/2014/chart" uri="{C3380CC4-5D6E-409C-BE32-E72D297353CC}">
              <c16:uniqueId val="{00000000-2DDA-4DAE-934F-DA1BF209A87F}"/>
            </c:ext>
          </c:extLst>
        </c:ser>
        <c:ser>
          <c:idx val="1"/>
          <c:order val="1"/>
          <c:tx>
            <c:strRef>
              <c:f>GRAF.!$E$4</c:f>
              <c:strCache>
                <c:ptCount val="1"/>
                <c:pt idx="0">
                  <c:v>APR.</c:v>
                </c:pt>
              </c:strCache>
            </c:strRef>
          </c:tx>
          <c:invertIfNegative val="0"/>
          <c:dLbls>
            <c:dLbl>
              <c:idx val="3"/>
              <c:layout>
                <c:manualLayout>
                  <c:x val="9.50118646377685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DDA-4DAE-934F-DA1BF209A87F}"/>
                </c:ext>
              </c:extLst>
            </c:dLbl>
            <c:dLbl>
              <c:idx val="8"/>
              <c:layout>
                <c:manualLayout>
                  <c:x val="9.50118646377685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DDA-4DAE-934F-DA1BF209A87F}"/>
                </c:ext>
              </c:extLst>
            </c:dLbl>
            <c:spPr>
              <a:noFill/>
              <a:ln>
                <a:noFill/>
              </a:ln>
              <a:effectLst/>
            </c:spPr>
            <c:txPr>
              <a:bodyPr/>
              <a:lstStyle/>
              <a:p>
                <a:pPr>
                  <a:defRPr lang="es-ES" sz="1100" b="1"/>
                </a:pPr>
                <a:endParaRPr lang="es-B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GRAF.!$C$5:$C$15</c:f>
              <c:strCache>
                <c:ptCount val="11"/>
                <c:pt idx="0">
                  <c:v>LEN</c:v>
                </c:pt>
                <c:pt idx="1">
                  <c:v>ING</c:v>
                </c:pt>
                <c:pt idx="2">
                  <c:v>C. SOC</c:v>
                </c:pt>
                <c:pt idx="3">
                  <c:v>E. FIS</c:v>
                </c:pt>
                <c:pt idx="4">
                  <c:v>MUS</c:v>
                </c:pt>
                <c:pt idx="5">
                  <c:v>A. PL.</c:v>
                </c:pt>
                <c:pt idx="6">
                  <c:v>MAT</c:v>
                </c:pt>
                <c:pt idx="7">
                  <c:v>T. TEC.G.</c:v>
                </c:pt>
                <c:pt idx="8">
                  <c:v>BIO-GEO</c:v>
                </c:pt>
                <c:pt idx="9">
                  <c:v>PSI</c:v>
                </c:pt>
                <c:pt idx="10">
                  <c:v>REL</c:v>
                </c:pt>
              </c:strCache>
            </c:strRef>
          </c:cat>
          <c:val>
            <c:numRef>
              <c:f>GRAF.!$E$5:$E$15</c:f>
              <c:numCache>
                <c:formatCode>0</c:formatCode>
                <c:ptCount val="11"/>
                <c:pt idx="0">
                  <c:v>71.428571428571431</c:v>
                </c:pt>
                <c:pt idx="1">
                  <c:v>77.142857142857153</c:v>
                </c:pt>
                <c:pt idx="2">
                  <c:v>71.428571428571431</c:v>
                </c:pt>
                <c:pt idx="3">
                  <c:v>94.285714285714278</c:v>
                </c:pt>
                <c:pt idx="4">
                  <c:v>88.571428571428569</c:v>
                </c:pt>
                <c:pt idx="5">
                  <c:v>100</c:v>
                </c:pt>
                <c:pt idx="6">
                  <c:v>77.142857142857153</c:v>
                </c:pt>
                <c:pt idx="7">
                  <c:v>88.571428571428569</c:v>
                </c:pt>
                <c:pt idx="8">
                  <c:v>94.285714285714278</c:v>
                </c:pt>
                <c:pt idx="9">
                  <c:v>85.714285714285708</c:v>
                </c:pt>
                <c:pt idx="10">
                  <c:v>100</c:v>
                </c:pt>
              </c:numCache>
            </c:numRef>
          </c:val>
          <c:extLst>
            <c:ext xmlns:c16="http://schemas.microsoft.com/office/drawing/2014/chart" uri="{C3380CC4-5D6E-409C-BE32-E72D297353CC}">
              <c16:uniqueId val="{00000003-2DDA-4DAE-934F-DA1BF209A87F}"/>
            </c:ext>
          </c:extLst>
        </c:ser>
        <c:dLbls>
          <c:showLegendKey val="0"/>
          <c:showVal val="0"/>
          <c:showCatName val="0"/>
          <c:showSerName val="0"/>
          <c:showPercent val="0"/>
          <c:showBubbleSize val="0"/>
        </c:dLbls>
        <c:gapWidth val="150"/>
        <c:shape val="box"/>
        <c:axId val="226766208"/>
        <c:axId val="226772096"/>
        <c:axId val="0"/>
      </c:bar3DChart>
      <c:catAx>
        <c:axId val="226766208"/>
        <c:scaling>
          <c:orientation val="minMax"/>
        </c:scaling>
        <c:delete val="0"/>
        <c:axPos val="b"/>
        <c:numFmt formatCode="General" sourceLinked="1"/>
        <c:majorTickMark val="out"/>
        <c:minorTickMark val="none"/>
        <c:tickLblPos val="nextTo"/>
        <c:txPr>
          <a:bodyPr/>
          <a:lstStyle/>
          <a:p>
            <a:pPr>
              <a:defRPr lang="es-ES" b="1"/>
            </a:pPr>
            <a:endParaRPr lang="es-BO"/>
          </a:p>
        </c:txPr>
        <c:crossAx val="226772096"/>
        <c:crosses val="autoZero"/>
        <c:auto val="1"/>
        <c:lblAlgn val="ctr"/>
        <c:lblOffset val="100"/>
        <c:noMultiLvlLbl val="0"/>
      </c:catAx>
      <c:valAx>
        <c:axId val="226772096"/>
        <c:scaling>
          <c:orientation val="minMax"/>
        </c:scaling>
        <c:delete val="0"/>
        <c:axPos val="l"/>
        <c:majorGridlines/>
        <c:numFmt formatCode="0" sourceLinked="1"/>
        <c:majorTickMark val="out"/>
        <c:minorTickMark val="none"/>
        <c:tickLblPos val="nextTo"/>
        <c:txPr>
          <a:bodyPr/>
          <a:lstStyle/>
          <a:p>
            <a:pPr>
              <a:defRPr lang="es-ES"/>
            </a:pPr>
            <a:endParaRPr lang="es-BO"/>
          </a:p>
        </c:txPr>
        <c:crossAx val="226766208"/>
        <c:crosses val="autoZero"/>
        <c:crossBetween val="between"/>
      </c:valAx>
    </c:plotArea>
    <c:legend>
      <c:legendPos val="r"/>
      <c:overlay val="0"/>
      <c:txPr>
        <a:bodyPr/>
        <a:lstStyle/>
        <a:p>
          <a:pPr>
            <a:defRPr lang="es-ES" b="1"/>
          </a:pPr>
          <a:endParaRPr lang="es-BO"/>
        </a:p>
      </c:txPr>
    </c:legend>
    <c:plotVisOnly val="1"/>
    <c:dispBlanksAs val="gap"/>
    <c:showDLblsOverMax val="0"/>
  </c:chart>
  <c:spPr>
    <a:ln w="50800" cmpd="thickThin">
      <a:solidFill>
        <a:schemeClr val="accent2">
          <a:lumMod val="75000"/>
        </a:schemeClr>
      </a:solidFill>
    </a:ln>
  </c:spPr>
  <c:printSettings>
    <c:headerFooter/>
    <c:pageMargins b="0.75000000000000455" l="0.70000000000000062" r="0.70000000000000062" t="0.75000000000000455" header="0.30000000000000032" footer="0.30000000000000032"/>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GRAF.!$D$75</c:f>
              <c:strCache>
                <c:ptCount val="1"/>
                <c:pt idx="0">
                  <c:v>REP.</c:v>
                </c:pt>
              </c:strCache>
            </c:strRef>
          </c:tx>
          <c:invertIfNegative val="0"/>
          <c:dLbls>
            <c:spPr>
              <a:noFill/>
              <a:ln>
                <a:noFill/>
              </a:ln>
              <a:effectLst/>
            </c:spPr>
            <c:txPr>
              <a:bodyPr/>
              <a:lstStyle/>
              <a:p>
                <a:pPr>
                  <a:defRPr lang="es-ES" sz="1100" b="1"/>
                </a:pPr>
                <a:endParaRPr lang="es-B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GRAF.!$C$76:$C$86</c:f>
              <c:strCache>
                <c:ptCount val="11"/>
                <c:pt idx="0">
                  <c:v>LEN</c:v>
                </c:pt>
                <c:pt idx="1">
                  <c:v>ING</c:v>
                </c:pt>
                <c:pt idx="2">
                  <c:v>C. SOC</c:v>
                </c:pt>
                <c:pt idx="3">
                  <c:v>E. FIS</c:v>
                </c:pt>
                <c:pt idx="4">
                  <c:v>MUS</c:v>
                </c:pt>
                <c:pt idx="5">
                  <c:v>A. PL.</c:v>
                </c:pt>
                <c:pt idx="6">
                  <c:v>MAT</c:v>
                </c:pt>
                <c:pt idx="7">
                  <c:v>T. TEC.G.</c:v>
                </c:pt>
                <c:pt idx="8">
                  <c:v>BIO-GEO</c:v>
                </c:pt>
                <c:pt idx="9">
                  <c:v>PSI</c:v>
                </c:pt>
                <c:pt idx="10">
                  <c:v>REL</c:v>
                </c:pt>
              </c:strCache>
            </c:strRef>
          </c:cat>
          <c:val>
            <c:numRef>
              <c:f>GRAF.!$D$76:$D$86</c:f>
              <c:numCache>
                <c:formatCode>0</c:formatCode>
                <c:ptCount val="11"/>
                <c:pt idx="0">
                  <c:v>100</c:v>
                </c:pt>
                <c:pt idx="1">
                  <c:v>100</c:v>
                </c:pt>
                <c:pt idx="2">
                  <c:v>100</c:v>
                </c:pt>
                <c:pt idx="3">
                  <c:v>100</c:v>
                </c:pt>
                <c:pt idx="4">
                  <c:v>100</c:v>
                </c:pt>
                <c:pt idx="5">
                  <c:v>100</c:v>
                </c:pt>
                <c:pt idx="6">
                  <c:v>100</c:v>
                </c:pt>
                <c:pt idx="7">
                  <c:v>100</c:v>
                </c:pt>
                <c:pt idx="8">
                  <c:v>100</c:v>
                </c:pt>
                <c:pt idx="9">
                  <c:v>100</c:v>
                </c:pt>
                <c:pt idx="10">
                  <c:v>100</c:v>
                </c:pt>
              </c:numCache>
            </c:numRef>
          </c:val>
          <c:extLst>
            <c:ext xmlns:c16="http://schemas.microsoft.com/office/drawing/2014/chart" uri="{C3380CC4-5D6E-409C-BE32-E72D297353CC}">
              <c16:uniqueId val="{00000000-9DDE-40CC-B433-94E0BE4785BE}"/>
            </c:ext>
          </c:extLst>
        </c:ser>
        <c:ser>
          <c:idx val="1"/>
          <c:order val="1"/>
          <c:tx>
            <c:strRef>
              <c:f>GRAF.!$E$75</c:f>
              <c:strCache>
                <c:ptCount val="1"/>
                <c:pt idx="0">
                  <c:v>APR.</c:v>
                </c:pt>
              </c:strCache>
            </c:strRef>
          </c:tx>
          <c:invertIfNegative val="0"/>
          <c:dLbls>
            <c:spPr>
              <a:noFill/>
              <a:ln>
                <a:noFill/>
              </a:ln>
              <a:effectLst/>
            </c:spPr>
            <c:txPr>
              <a:bodyPr/>
              <a:lstStyle/>
              <a:p>
                <a:pPr>
                  <a:defRPr lang="es-ES" sz="1100" b="1"/>
                </a:pPr>
                <a:endParaRPr lang="es-B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GRAF.!$C$76:$C$86</c:f>
              <c:strCache>
                <c:ptCount val="11"/>
                <c:pt idx="0">
                  <c:v>LEN</c:v>
                </c:pt>
                <c:pt idx="1">
                  <c:v>ING</c:v>
                </c:pt>
                <c:pt idx="2">
                  <c:v>C. SOC</c:v>
                </c:pt>
                <c:pt idx="3">
                  <c:v>E. FIS</c:v>
                </c:pt>
                <c:pt idx="4">
                  <c:v>MUS</c:v>
                </c:pt>
                <c:pt idx="5">
                  <c:v>A. PL.</c:v>
                </c:pt>
                <c:pt idx="6">
                  <c:v>MAT</c:v>
                </c:pt>
                <c:pt idx="7">
                  <c:v>T. TEC.G.</c:v>
                </c:pt>
                <c:pt idx="8">
                  <c:v>BIO-GEO</c:v>
                </c:pt>
                <c:pt idx="9">
                  <c:v>PSI</c:v>
                </c:pt>
                <c:pt idx="10">
                  <c:v>REL</c:v>
                </c:pt>
              </c:strCache>
            </c:strRef>
          </c:cat>
          <c:val>
            <c:numRef>
              <c:f>GRAF.!$E$76:$E$86</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9DDE-40CC-B433-94E0BE4785BE}"/>
            </c:ext>
          </c:extLst>
        </c:ser>
        <c:dLbls>
          <c:showLegendKey val="0"/>
          <c:showVal val="0"/>
          <c:showCatName val="0"/>
          <c:showSerName val="0"/>
          <c:showPercent val="0"/>
          <c:showBubbleSize val="0"/>
        </c:dLbls>
        <c:gapWidth val="150"/>
        <c:shape val="box"/>
        <c:axId val="226810112"/>
        <c:axId val="226828288"/>
        <c:axId val="0"/>
      </c:bar3DChart>
      <c:catAx>
        <c:axId val="226810112"/>
        <c:scaling>
          <c:orientation val="minMax"/>
        </c:scaling>
        <c:delete val="0"/>
        <c:axPos val="b"/>
        <c:numFmt formatCode="General" sourceLinked="1"/>
        <c:majorTickMark val="out"/>
        <c:minorTickMark val="none"/>
        <c:tickLblPos val="nextTo"/>
        <c:txPr>
          <a:bodyPr/>
          <a:lstStyle/>
          <a:p>
            <a:pPr>
              <a:defRPr lang="es-ES" b="1"/>
            </a:pPr>
            <a:endParaRPr lang="es-BO"/>
          </a:p>
        </c:txPr>
        <c:crossAx val="226828288"/>
        <c:crosses val="autoZero"/>
        <c:auto val="1"/>
        <c:lblAlgn val="ctr"/>
        <c:lblOffset val="100"/>
        <c:noMultiLvlLbl val="0"/>
      </c:catAx>
      <c:valAx>
        <c:axId val="226828288"/>
        <c:scaling>
          <c:orientation val="minMax"/>
        </c:scaling>
        <c:delete val="0"/>
        <c:axPos val="l"/>
        <c:majorGridlines/>
        <c:numFmt formatCode="0" sourceLinked="1"/>
        <c:majorTickMark val="out"/>
        <c:minorTickMark val="none"/>
        <c:tickLblPos val="nextTo"/>
        <c:txPr>
          <a:bodyPr/>
          <a:lstStyle/>
          <a:p>
            <a:pPr>
              <a:defRPr lang="es-ES"/>
            </a:pPr>
            <a:endParaRPr lang="es-BO"/>
          </a:p>
        </c:txPr>
        <c:crossAx val="226810112"/>
        <c:crosses val="autoZero"/>
        <c:crossBetween val="between"/>
      </c:valAx>
    </c:plotArea>
    <c:legend>
      <c:legendPos val="r"/>
      <c:overlay val="0"/>
      <c:txPr>
        <a:bodyPr/>
        <a:lstStyle/>
        <a:p>
          <a:pPr>
            <a:defRPr lang="es-ES" b="1"/>
          </a:pPr>
          <a:endParaRPr lang="es-BO"/>
        </a:p>
      </c:txPr>
    </c:legend>
    <c:plotVisOnly val="1"/>
    <c:dispBlanksAs val="gap"/>
    <c:showDLblsOverMax val="0"/>
  </c:chart>
  <c:spPr>
    <a:ln w="63500" cmpd="thickThin">
      <a:solidFill>
        <a:srgbClr val="C0504D">
          <a:lumMod val="75000"/>
        </a:srgbClr>
      </a:solidFill>
    </a:ln>
  </c:spPr>
  <c:printSettings>
    <c:headerFooter/>
    <c:pageMargins b="0.75000000000000455" l="0.70000000000000062" r="0.70000000000000062" t="0.75000000000000455" header="0.30000000000000032" footer="0.30000000000000032"/>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GRAF.!$D$41</c:f>
              <c:strCache>
                <c:ptCount val="1"/>
                <c:pt idx="0">
                  <c:v>1°bim</c:v>
                </c:pt>
              </c:strCache>
            </c:strRef>
          </c:tx>
          <c:invertIfNegative val="0"/>
          <c:dLbls>
            <c:spPr>
              <a:noFill/>
              <a:ln>
                <a:noFill/>
              </a:ln>
              <a:effectLst/>
            </c:spPr>
            <c:txPr>
              <a:bodyPr/>
              <a:lstStyle/>
              <a:p>
                <a:pPr>
                  <a:defRPr lang="es-ES" b="1"/>
                </a:pPr>
                <a:endParaRPr lang="es-B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GRAF.!$C$42:$C$52</c:f>
              <c:strCache>
                <c:ptCount val="11"/>
                <c:pt idx="0">
                  <c:v>LEN</c:v>
                </c:pt>
                <c:pt idx="1">
                  <c:v>ING</c:v>
                </c:pt>
                <c:pt idx="2">
                  <c:v>C. SOC</c:v>
                </c:pt>
                <c:pt idx="3">
                  <c:v>E. FIS</c:v>
                </c:pt>
                <c:pt idx="4">
                  <c:v>MUS</c:v>
                </c:pt>
                <c:pt idx="5">
                  <c:v>A. PL.</c:v>
                </c:pt>
                <c:pt idx="6">
                  <c:v>MAT</c:v>
                </c:pt>
                <c:pt idx="7">
                  <c:v>T. TEC.G.</c:v>
                </c:pt>
                <c:pt idx="8">
                  <c:v>BIO-GEO</c:v>
                </c:pt>
                <c:pt idx="9">
                  <c:v>PSI</c:v>
                </c:pt>
                <c:pt idx="10">
                  <c:v>REL</c:v>
                </c:pt>
              </c:strCache>
            </c:strRef>
          </c:cat>
          <c:val>
            <c:numRef>
              <c:f>GRAF.!$D$42:$D$52</c:f>
              <c:numCache>
                <c:formatCode>0</c:formatCode>
                <c:ptCount val="11"/>
                <c:pt idx="0">
                  <c:v>28.571428571428569</c:v>
                </c:pt>
                <c:pt idx="1">
                  <c:v>22.857142857142847</c:v>
                </c:pt>
                <c:pt idx="2">
                  <c:v>28.571428571428569</c:v>
                </c:pt>
                <c:pt idx="3">
                  <c:v>5.7142857142857224</c:v>
                </c:pt>
                <c:pt idx="4">
                  <c:v>11.428571428571431</c:v>
                </c:pt>
                <c:pt idx="5">
                  <c:v>0</c:v>
                </c:pt>
                <c:pt idx="6">
                  <c:v>22.857142857142847</c:v>
                </c:pt>
                <c:pt idx="7">
                  <c:v>11.428571428571431</c:v>
                </c:pt>
                <c:pt idx="8">
                  <c:v>5.7142857142857224</c:v>
                </c:pt>
                <c:pt idx="9">
                  <c:v>14.285714285714292</c:v>
                </c:pt>
                <c:pt idx="10">
                  <c:v>0</c:v>
                </c:pt>
              </c:numCache>
            </c:numRef>
          </c:val>
          <c:extLst>
            <c:ext xmlns:c16="http://schemas.microsoft.com/office/drawing/2014/chart" uri="{C3380CC4-5D6E-409C-BE32-E72D297353CC}">
              <c16:uniqueId val="{00000000-6E72-4736-A388-B13C21219249}"/>
            </c:ext>
          </c:extLst>
        </c:ser>
        <c:ser>
          <c:idx val="1"/>
          <c:order val="1"/>
          <c:tx>
            <c:strRef>
              <c:f>GRAF.!$E$41</c:f>
              <c:strCache>
                <c:ptCount val="1"/>
                <c:pt idx="0">
                  <c:v>2°bim</c:v>
                </c:pt>
              </c:strCache>
            </c:strRef>
          </c:tx>
          <c:invertIfNegative val="0"/>
          <c:dLbls>
            <c:dLbl>
              <c:idx val="0"/>
              <c:layout>
                <c:manualLayout>
                  <c:x val="1.243201091080264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E72-4736-A388-B13C21219249}"/>
                </c:ext>
              </c:extLst>
            </c:dLbl>
            <c:dLbl>
              <c:idx val="1"/>
              <c:layout>
                <c:manualLayout>
                  <c:x val="9.248552668262062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E72-4736-A388-B13C21219249}"/>
                </c:ext>
              </c:extLst>
            </c:dLbl>
            <c:dLbl>
              <c:idx val="3"/>
              <c:layout>
                <c:manualLayout>
                  <c:x val="1.078997811297240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72-4736-A388-B13C21219249}"/>
                </c:ext>
              </c:extLst>
            </c:dLbl>
            <c:dLbl>
              <c:idx val="4"/>
              <c:layout>
                <c:manualLayout>
                  <c:x val="1.387282900239315E-2"/>
                  <c:y val="2.26757369614512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E72-4736-A388-B13C21219249}"/>
                </c:ext>
              </c:extLst>
            </c:dLbl>
            <c:dLbl>
              <c:idx val="5"/>
              <c:layout>
                <c:manualLayout>
                  <c:x val="7.7071272235517182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72-4736-A388-B13C21219249}"/>
                </c:ext>
              </c:extLst>
            </c:dLbl>
            <c:dLbl>
              <c:idx val="6"/>
              <c:layout>
                <c:manualLayout>
                  <c:x val="1.5414254447103436E-2"/>
                  <c:y val="2.267573696145083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E72-4736-A388-B13C21219249}"/>
                </c:ext>
              </c:extLst>
            </c:dLbl>
            <c:dLbl>
              <c:idx val="7"/>
              <c:layout>
                <c:manualLayout>
                  <c:x val="1.0789978112972406E-2"/>
                  <c:y val="-8.3143408378906071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E72-4736-A388-B13C21219249}"/>
                </c:ext>
              </c:extLst>
            </c:dLbl>
            <c:dLbl>
              <c:idx val="8"/>
              <c:layout>
                <c:manualLayout>
                  <c:x val="1.387282900239309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E72-4736-A388-B13C21219249}"/>
                </c:ext>
              </c:extLst>
            </c:dLbl>
            <c:dLbl>
              <c:idx val="9"/>
              <c:layout>
                <c:manualLayout>
                  <c:x val="1.233140355768275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E72-4736-A388-B13C21219249}"/>
                </c:ext>
              </c:extLst>
            </c:dLbl>
            <c:dLbl>
              <c:idx val="10"/>
              <c:layout>
                <c:manualLayout>
                  <c:x val="1.233140355768275E-2"/>
                  <c:y val="2.267573696145124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E72-4736-A388-B13C21219249}"/>
                </c:ext>
              </c:extLst>
            </c:dLbl>
            <c:spPr>
              <a:noFill/>
              <a:ln>
                <a:noFill/>
              </a:ln>
              <a:effectLst/>
            </c:spPr>
            <c:txPr>
              <a:bodyPr/>
              <a:lstStyle/>
              <a:p>
                <a:pPr>
                  <a:defRPr lang="es-ES" b="1"/>
                </a:pPr>
                <a:endParaRPr lang="es-B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GRAF.!$C$42:$C$52</c:f>
              <c:strCache>
                <c:ptCount val="11"/>
                <c:pt idx="0">
                  <c:v>LEN</c:v>
                </c:pt>
                <c:pt idx="1">
                  <c:v>ING</c:v>
                </c:pt>
                <c:pt idx="2">
                  <c:v>C. SOC</c:v>
                </c:pt>
                <c:pt idx="3">
                  <c:v>E. FIS</c:v>
                </c:pt>
                <c:pt idx="4">
                  <c:v>MUS</c:v>
                </c:pt>
                <c:pt idx="5">
                  <c:v>A. PL.</c:v>
                </c:pt>
                <c:pt idx="6">
                  <c:v>MAT</c:v>
                </c:pt>
                <c:pt idx="7">
                  <c:v>T. TEC.G.</c:v>
                </c:pt>
                <c:pt idx="8">
                  <c:v>BIO-GEO</c:v>
                </c:pt>
                <c:pt idx="9">
                  <c:v>PSI</c:v>
                </c:pt>
                <c:pt idx="10">
                  <c:v>REL</c:v>
                </c:pt>
              </c:strCache>
            </c:strRef>
          </c:cat>
          <c:val>
            <c:numRef>
              <c:f>GRAF.!$E$42:$E$52</c:f>
              <c:numCache>
                <c:formatCode>0</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B-6E72-4736-A388-B13C21219249}"/>
            </c:ext>
          </c:extLst>
        </c:ser>
        <c:dLbls>
          <c:showLegendKey val="0"/>
          <c:showVal val="0"/>
          <c:showCatName val="0"/>
          <c:showSerName val="0"/>
          <c:showPercent val="0"/>
          <c:showBubbleSize val="0"/>
        </c:dLbls>
        <c:gapWidth val="150"/>
        <c:shape val="box"/>
        <c:axId val="226846208"/>
        <c:axId val="226847744"/>
        <c:axId val="0"/>
      </c:bar3DChart>
      <c:catAx>
        <c:axId val="226846208"/>
        <c:scaling>
          <c:orientation val="minMax"/>
        </c:scaling>
        <c:delete val="0"/>
        <c:axPos val="b"/>
        <c:numFmt formatCode="General" sourceLinked="1"/>
        <c:majorTickMark val="out"/>
        <c:minorTickMark val="none"/>
        <c:tickLblPos val="nextTo"/>
        <c:txPr>
          <a:bodyPr/>
          <a:lstStyle/>
          <a:p>
            <a:pPr>
              <a:defRPr lang="es-ES" b="1"/>
            </a:pPr>
            <a:endParaRPr lang="es-BO"/>
          </a:p>
        </c:txPr>
        <c:crossAx val="226847744"/>
        <c:crosses val="autoZero"/>
        <c:auto val="1"/>
        <c:lblAlgn val="ctr"/>
        <c:lblOffset val="100"/>
        <c:noMultiLvlLbl val="0"/>
      </c:catAx>
      <c:valAx>
        <c:axId val="226847744"/>
        <c:scaling>
          <c:orientation val="minMax"/>
        </c:scaling>
        <c:delete val="0"/>
        <c:axPos val="l"/>
        <c:majorGridlines/>
        <c:numFmt formatCode="0" sourceLinked="1"/>
        <c:majorTickMark val="out"/>
        <c:minorTickMark val="none"/>
        <c:tickLblPos val="nextTo"/>
        <c:txPr>
          <a:bodyPr/>
          <a:lstStyle/>
          <a:p>
            <a:pPr>
              <a:defRPr lang="es-ES"/>
            </a:pPr>
            <a:endParaRPr lang="es-BO"/>
          </a:p>
        </c:txPr>
        <c:crossAx val="226846208"/>
        <c:crosses val="autoZero"/>
        <c:crossBetween val="between"/>
      </c:valAx>
    </c:plotArea>
    <c:legend>
      <c:legendPos val="r"/>
      <c:overlay val="0"/>
      <c:txPr>
        <a:bodyPr/>
        <a:lstStyle/>
        <a:p>
          <a:pPr>
            <a:defRPr lang="es-ES" b="1"/>
          </a:pPr>
          <a:endParaRPr lang="es-BO"/>
        </a:p>
      </c:txPr>
    </c:legend>
    <c:plotVisOnly val="1"/>
    <c:dispBlanksAs val="gap"/>
    <c:showDLblsOverMax val="0"/>
  </c:chart>
  <c:spPr>
    <a:ln w="63500" cmpd="thickThin">
      <a:solidFill>
        <a:srgbClr val="C00000"/>
      </a:solidFill>
    </a:ln>
  </c:spPr>
  <c:printSettings>
    <c:headerFooter/>
    <c:pageMargins b="0.75000000000000233" l="0.70000000000000062" r="0.70000000000000062" t="0.75000000000000233" header="0.30000000000000032" footer="0.30000000000000032"/>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xdr:colOff>
      <xdr:row>2</xdr:row>
      <xdr:rowOff>180975</xdr:rowOff>
    </xdr:from>
    <xdr:to>
      <xdr:col>21</xdr:col>
      <xdr:colOff>514350</xdr:colOff>
      <xdr:row>33</xdr:row>
      <xdr:rowOff>28574</xdr:rowOff>
    </xdr:to>
    <xdr:graphicFrame macro="">
      <xdr:nvGraphicFramePr>
        <xdr:cNvPr id="11" name="10 Gráfico">
          <a:extLst>
            <a:ext uri="{FF2B5EF4-FFF2-40B4-BE49-F238E27FC236}">
              <a16:creationId xmlns:a16="http://schemas.microsoft.com/office/drawing/2014/main" id="{00000000-0008-0000-14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257175</xdr:colOff>
      <xdr:row>72</xdr:row>
      <xdr:rowOff>180974</xdr:rowOff>
    </xdr:from>
    <xdr:to>
      <xdr:col>21</xdr:col>
      <xdr:colOff>219075</xdr:colOff>
      <xdr:row>100</xdr:row>
      <xdr:rowOff>171449</xdr:rowOff>
    </xdr:to>
    <xdr:graphicFrame macro="">
      <xdr:nvGraphicFramePr>
        <xdr:cNvPr id="13" name="12 Gráfico">
          <a:extLst>
            <a:ext uri="{FF2B5EF4-FFF2-40B4-BE49-F238E27FC236}">
              <a16:creationId xmlns:a16="http://schemas.microsoft.com/office/drawing/2014/main" id="{00000000-0008-0000-1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202404</xdr:colOff>
      <xdr:row>39</xdr:row>
      <xdr:rowOff>83344</xdr:rowOff>
    </xdr:from>
    <xdr:to>
      <xdr:col>21</xdr:col>
      <xdr:colOff>202406</xdr:colOff>
      <xdr:row>68</xdr:row>
      <xdr:rowOff>130969</xdr:rowOff>
    </xdr:to>
    <xdr:graphicFrame macro="">
      <xdr:nvGraphicFramePr>
        <xdr:cNvPr id="2" name="1 Gráfico">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esktop/NOTAS%201%20TRIM%202026/BLANCA%20APAZA/2A%20(1).xlsm" TargetMode="External"/><Relationship Id="rId1" Type="http://schemas.openxmlformats.org/officeDocument/2006/relationships/externalLinkPath" Target="/Users/Admin/Desktop/NOTAS%201%20TRIM%202026/BLANCA%20APAZA/2A%20(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ICIO"/>
      <sheetName val="FILIACION"/>
      <sheetName val="ASISTENCIA"/>
      <sheetName val="TRIMESTRE_1"/>
      <sheetName val="TRIMESTRE_2"/>
      <sheetName val="TRIMESTRE_3"/>
      <sheetName val="CENTRALIZADOR"/>
      <sheetName val="CARATULA"/>
      <sheetName val="DATOS"/>
    </sheetNames>
    <sheetDataSet>
      <sheetData sheetId="0" refreshError="1"/>
      <sheetData sheetId="1" refreshError="1"/>
      <sheetData sheetId="2" refreshError="1"/>
      <sheetData sheetId="3"/>
      <sheetData sheetId="4" refreshError="1"/>
      <sheetData sheetId="5" refreshError="1"/>
      <sheetData sheetId="6">
        <row r="7">
          <cell r="C7">
            <v>64.666666666666671</v>
          </cell>
        </row>
        <row r="8">
          <cell r="C8">
            <v>62.416666666666671</v>
          </cell>
        </row>
        <row r="9">
          <cell r="C9">
            <v>70.333333333333343</v>
          </cell>
        </row>
        <row r="10">
          <cell r="C10">
            <v>51.75</v>
          </cell>
        </row>
        <row r="11">
          <cell r="C11">
            <v>78.833333333333343</v>
          </cell>
        </row>
        <row r="12">
          <cell r="C12">
            <v>77.166666666666671</v>
          </cell>
        </row>
        <row r="13">
          <cell r="C13">
            <v>66.166666666666671</v>
          </cell>
        </row>
        <row r="14">
          <cell r="C14">
            <v>75.666666666666657</v>
          </cell>
        </row>
        <row r="15">
          <cell r="C15">
            <v>52.25</v>
          </cell>
        </row>
        <row r="16">
          <cell r="C16">
            <v>63.75</v>
          </cell>
        </row>
        <row r="17">
          <cell r="C17">
            <v>68.833333333333329</v>
          </cell>
        </row>
        <row r="18">
          <cell r="C18">
            <v>70.666666666666671</v>
          </cell>
        </row>
        <row r="19">
          <cell r="C19">
            <v>61.416666666666671</v>
          </cell>
        </row>
        <row r="20">
          <cell r="C20">
            <v>65.666666666666671</v>
          </cell>
        </row>
        <row r="21">
          <cell r="C21">
            <v>74.583333333333343</v>
          </cell>
        </row>
        <row r="22">
          <cell r="C22">
            <v>79.666666666666657</v>
          </cell>
        </row>
        <row r="23">
          <cell r="C23">
            <v>68.416666666666671</v>
          </cell>
        </row>
        <row r="24">
          <cell r="C24">
            <v>54.166666666666671</v>
          </cell>
        </row>
        <row r="25">
          <cell r="C25">
            <v>58</v>
          </cell>
        </row>
        <row r="26">
          <cell r="C26">
            <v>66.75</v>
          </cell>
        </row>
        <row r="27">
          <cell r="C27">
            <v>93.666666666666657</v>
          </cell>
        </row>
        <row r="28">
          <cell r="C28">
            <v>58.833333333333329</v>
          </cell>
        </row>
        <row r="29">
          <cell r="C29">
            <v>78.666666666666657</v>
          </cell>
        </row>
        <row r="30">
          <cell r="C30">
            <v>73.166666666666657</v>
          </cell>
        </row>
        <row r="31">
          <cell r="C31">
            <v>55.416666666666664</v>
          </cell>
        </row>
        <row r="32">
          <cell r="C32">
            <v>62.833333333333329</v>
          </cell>
        </row>
        <row r="33">
          <cell r="C33">
            <v>60.833333333333329</v>
          </cell>
        </row>
        <row r="34">
          <cell r="C34">
            <v>78.833333333333343</v>
          </cell>
        </row>
        <row r="35">
          <cell r="C35">
            <v>62.333333333333329</v>
          </cell>
        </row>
        <row r="36">
          <cell r="C36">
            <v>68.666666666666657</v>
          </cell>
        </row>
        <row r="37">
          <cell r="C37">
            <v>62.166666666666671</v>
          </cell>
        </row>
        <row r="38">
          <cell r="C38">
            <v>64</v>
          </cell>
        </row>
        <row r="39">
          <cell r="C39">
            <v>66.583333333333329</v>
          </cell>
        </row>
        <row r="40">
          <cell r="C40">
            <v>61.083333333333336</v>
          </cell>
        </row>
        <row r="41">
          <cell r="C41">
            <v>51.583333333333329</v>
          </cell>
        </row>
      </sheetData>
      <sheetData sheetId="7" refreshError="1"/>
      <sheetData sheetId="8"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2:AH50"/>
  <sheetViews>
    <sheetView workbookViewId="0">
      <selection activeCell="B34" sqref="B34"/>
    </sheetView>
  </sheetViews>
  <sheetFormatPr defaultColWidth="11.42578125" defaultRowHeight="15"/>
  <cols>
    <col min="1" max="1" width="5.28515625" customWidth="1"/>
    <col min="2" max="2" width="36.5703125" customWidth="1"/>
    <col min="3" max="3" width="11" customWidth="1"/>
    <col min="4" max="4" width="14" customWidth="1"/>
    <col min="5" max="5" width="8.85546875" customWidth="1"/>
    <col min="6" max="6" width="13.28515625" customWidth="1"/>
  </cols>
  <sheetData>
    <row r="2" spans="1:34" ht="19.5" customHeight="1">
      <c r="A2" s="236"/>
      <c r="B2" s="237" t="s">
        <v>110</v>
      </c>
      <c r="C2" s="236"/>
      <c r="D2" s="255" t="s">
        <v>109</v>
      </c>
      <c r="E2" s="255"/>
      <c r="F2" s="236"/>
      <c r="G2" s="1"/>
      <c r="H2" s="1"/>
      <c r="I2" s="1"/>
      <c r="J2" s="1"/>
      <c r="K2" s="1"/>
      <c r="L2" s="1"/>
      <c r="M2" s="1"/>
      <c r="N2" s="1"/>
      <c r="O2" s="1"/>
      <c r="P2" s="1"/>
      <c r="Q2" s="1"/>
      <c r="R2" s="1"/>
      <c r="S2" s="1"/>
      <c r="T2" s="1"/>
      <c r="U2" s="1"/>
      <c r="V2" s="1"/>
      <c r="W2" s="1"/>
      <c r="X2" s="1"/>
      <c r="Y2" s="1"/>
      <c r="Z2" s="1"/>
      <c r="AA2" s="1"/>
      <c r="AB2" s="1"/>
      <c r="AC2" s="1"/>
      <c r="AD2" s="1"/>
      <c r="AE2" s="1"/>
      <c r="AF2" s="1"/>
      <c r="AG2" s="1"/>
      <c r="AH2" s="1"/>
    </row>
    <row r="3" spans="1:34" ht="13.5" customHeight="1" thickBot="1">
      <c r="A3" s="1"/>
      <c r="B3" s="3"/>
      <c r="C3" s="1"/>
      <c r="D3" s="3" t="s">
        <v>12</v>
      </c>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ht="15.75" thickTop="1">
      <c r="A4" s="256" t="s">
        <v>0</v>
      </c>
      <c r="B4" s="256" t="s">
        <v>1</v>
      </c>
      <c r="C4" s="258" t="s">
        <v>5</v>
      </c>
      <c r="D4" s="12" t="s">
        <v>2</v>
      </c>
      <c r="E4" s="260"/>
      <c r="F4" s="253" t="s">
        <v>3</v>
      </c>
      <c r="G4" s="3"/>
      <c r="H4" s="3"/>
      <c r="I4" s="3"/>
      <c r="J4" s="3"/>
      <c r="K4" s="3"/>
      <c r="L4" s="3"/>
      <c r="M4" s="3"/>
      <c r="N4" s="3"/>
      <c r="O4" s="3"/>
      <c r="P4" s="3"/>
      <c r="Q4" s="3"/>
      <c r="R4" s="3"/>
      <c r="S4" s="3"/>
      <c r="T4" s="3"/>
      <c r="U4" s="3"/>
      <c r="V4" s="3"/>
      <c r="W4" s="3"/>
      <c r="X4" s="3"/>
      <c r="Y4" s="3"/>
      <c r="Z4" s="3"/>
      <c r="AA4" s="3"/>
      <c r="AB4" s="3"/>
      <c r="AC4" s="3"/>
      <c r="AD4" s="3"/>
      <c r="AE4" s="3"/>
      <c r="AF4" s="3"/>
      <c r="AG4" s="3"/>
      <c r="AH4" s="3"/>
    </row>
    <row r="5" spans="1:34" ht="15.75" thickBot="1">
      <c r="A5" s="257"/>
      <c r="B5" s="257"/>
      <c r="C5" s="259"/>
      <c r="D5" s="13" t="s">
        <v>4</v>
      </c>
      <c r="E5" s="261"/>
      <c r="F5" s="254"/>
      <c r="G5" s="3"/>
      <c r="H5" s="3"/>
      <c r="I5" s="3"/>
      <c r="J5" s="3"/>
      <c r="K5" s="3"/>
      <c r="L5" s="3"/>
      <c r="M5" s="3"/>
      <c r="N5" s="3"/>
      <c r="O5" s="3"/>
      <c r="P5" s="3"/>
      <c r="Q5" s="3"/>
      <c r="R5" s="3"/>
      <c r="S5" s="3"/>
      <c r="T5" s="3"/>
      <c r="U5" s="3"/>
      <c r="V5" s="3"/>
      <c r="W5" s="3"/>
      <c r="X5" s="3"/>
      <c r="Y5" s="3"/>
      <c r="Z5" s="3"/>
      <c r="AA5" s="3"/>
      <c r="AB5" s="3"/>
      <c r="AC5" s="3"/>
      <c r="AD5" s="3"/>
      <c r="AE5" s="3"/>
      <c r="AF5" s="3"/>
      <c r="AG5" s="3"/>
      <c r="AH5" s="3"/>
    </row>
    <row r="6" spans="1:34" ht="17.100000000000001" customHeight="1">
      <c r="A6" s="7">
        <v>1</v>
      </c>
      <c r="B6" s="214" t="s">
        <v>111</v>
      </c>
      <c r="C6" s="152"/>
      <c r="D6" s="11"/>
      <c r="E6" s="6"/>
      <c r="F6" s="10"/>
      <c r="G6" s="4"/>
      <c r="H6" s="4"/>
      <c r="I6" s="4"/>
      <c r="J6" s="4"/>
      <c r="K6" s="4"/>
      <c r="L6" s="4"/>
      <c r="M6" s="4"/>
      <c r="N6" s="4"/>
      <c r="O6" s="4"/>
      <c r="P6" s="4"/>
      <c r="Q6" s="4"/>
      <c r="R6" s="4"/>
      <c r="S6" s="4"/>
      <c r="T6" s="4"/>
      <c r="U6" s="4"/>
      <c r="V6" s="4"/>
      <c r="W6" s="4"/>
      <c r="X6" s="4"/>
      <c r="Y6" s="4"/>
      <c r="Z6" s="4"/>
      <c r="AA6" s="4"/>
      <c r="AB6" s="4"/>
      <c r="AC6" s="4"/>
      <c r="AD6" s="4"/>
      <c r="AE6" s="4"/>
      <c r="AF6" s="4"/>
      <c r="AG6" s="4"/>
      <c r="AH6" s="4"/>
    </row>
    <row r="7" spans="1:34" ht="17.100000000000001" customHeight="1">
      <c r="A7" s="8">
        <v>2</v>
      </c>
      <c r="B7" s="214" t="s">
        <v>112</v>
      </c>
      <c r="C7" s="152"/>
      <c r="D7" s="11"/>
      <c r="E7" s="2"/>
      <c r="F7" s="10"/>
    </row>
    <row r="8" spans="1:34" ht="17.100000000000001" customHeight="1">
      <c r="A8" s="9">
        <v>3</v>
      </c>
      <c r="B8" s="214" t="s">
        <v>113</v>
      </c>
      <c r="C8" s="152"/>
      <c r="D8" s="11"/>
      <c r="E8" s="2"/>
      <c r="F8" s="10"/>
    </row>
    <row r="9" spans="1:34" ht="17.100000000000001" customHeight="1">
      <c r="A9" s="7">
        <v>4</v>
      </c>
      <c r="B9" s="214" t="s">
        <v>114</v>
      </c>
      <c r="C9" s="152"/>
      <c r="D9" s="11"/>
      <c r="E9" s="2"/>
      <c r="F9" s="10"/>
    </row>
    <row r="10" spans="1:34" ht="17.100000000000001" customHeight="1">
      <c r="A10" s="8">
        <v>5</v>
      </c>
      <c r="B10" s="214" t="s">
        <v>115</v>
      </c>
      <c r="C10" s="152"/>
      <c r="D10" s="11"/>
      <c r="E10" s="2"/>
      <c r="F10" s="10"/>
    </row>
    <row r="11" spans="1:34" ht="17.100000000000001" customHeight="1">
      <c r="A11" s="9">
        <v>6</v>
      </c>
      <c r="B11" s="214" t="s">
        <v>116</v>
      </c>
      <c r="C11" s="152"/>
      <c r="D11" s="11"/>
      <c r="E11" s="2"/>
      <c r="F11" s="10"/>
    </row>
    <row r="12" spans="1:34" ht="17.100000000000001" customHeight="1">
      <c r="A12" s="7">
        <v>7</v>
      </c>
      <c r="B12" s="214" t="s">
        <v>117</v>
      </c>
      <c r="C12" s="152"/>
      <c r="D12" s="11"/>
      <c r="E12" s="2"/>
      <c r="F12" s="10"/>
    </row>
    <row r="13" spans="1:34" ht="17.100000000000001" customHeight="1">
      <c r="A13" s="7">
        <v>8</v>
      </c>
      <c r="B13" s="214" t="s">
        <v>118</v>
      </c>
      <c r="C13" s="152"/>
      <c r="D13" s="11"/>
      <c r="E13" s="2"/>
      <c r="F13" s="10"/>
    </row>
    <row r="14" spans="1:34" ht="17.100000000000001" customHeight="1">
      <c r="A14" s="8">
        <v>9</v>
      </c>
      <c r="B14" s="214" t="s">
        <v>119</v>
      </c>
      <c r="C14" s="152"/>
      <c r="D14" s="11"/>
      <c r="E14" s="2"/>
      <c r="F14" s="10"/>
    </row>
    <row r="15" spans="1:34" ht="17.100000000000001" customHeight="1">
      <c r="A15" s="9">
        <v>10</v>
      </c>
      <c r="B15" s="214" t="s">
        <v>120</v>
      </c>
      <c r="C15" s="152"/>
      <c r="D15" s="11"/>
      <c r="E15" s="2"/>
      <c r="F15" s="10"/>
    </row>
    <row r="16" spans="1:34" ht="17.100000000000001" customHeight="1">
      <c r="A16" s="7">
        <v>11</v>
      </c>
      <c r="B16" s="214" t="s">
        <v>121</v>
      </c>
      <c r="C16" s="152"/>
      <c r="D16" s="11"/>
      <c r="E16" s="2"/>
      <c r="F16" s="10"/>
    </row>
    <row r="17" spans="1:6" ht="17.100000000000001" customHeight="1">
      <c r="A17" s="8">
        <v>12</v>
      </c>
      <c r="B17" s="214" t="s">
        <v>122</v>
      </c>
      <c r="C17" s="152"/>
      <c r="D17" s="11"/>
      <c r="E17" s="2"/>
      <c r="F17" s="10"/>
    </row>
    <row r="18" spans="1:6" ht="17.100000000000001" customHeight="1">
      <c r="A18" s="9">
        <v>13</v>
      </c>
      <c r="B18" s="214" t="s">
        <v>123</v>
      </c>
      <c r="C18" s="152"/>
      <c r="D18" s="11"/>
      <c r="E18" s="2"/>
      <c r="F18" s="10"/>
    </row>
    <row r="19" spans="1:6" ht="17.100000000000001" customHeight="1">
      <c r="A19" s="7">
        <v>14</v>
      </c>
      <c r="B19" s="214" t="s">
        <v>124</v>
      </c>
      <c r="C19" s="152"/>
      <c r="D19" s="11"/>
      <c r="E19" s="2"/>
      <c r="F19" s="10"/>
    </row>
    <row r="20" spans="1:6" ht="17.100000000000001" customHeight="1">
      <c r="A20" s="7">
        <v>15</v>
      </c>
      <c r="B20" s="214" t="s">
        <v>125</v>
      </c>
      <c r="C20" s="152"/>
      <c r="D20" s="11"/>
      <c r="E20" s="2"/>
      <c r="F20" s="10"/>
    </row>
    <row r="21" spans="1:6" ht="17.100000000000001" customHeight="1">
      <c r="A21" s="8">
        <v>16</v>
      </c>
      <c r="B21" s="214" t="s">
        <v>126</v>
      </c>
      <c r="C21" s="152"/>
      <c r="D21" s="11"/>
      <c r="E21" s="2"/>
      <c r="F21" s="10"/>
    </row>
    <row r="22" spans="1:6" ht="17.100000000000001" customHeight="1">
      <c r="A22" s="9">
        <v>17</v>
      </c>
      <c r="B22" s="214" t="s">
        <v>127</v>
      </c>
      <c r="C22" s="152"/>
      <c r="D22" s="11"/>
      <c r="E22" s="2"/>
      <c r="F22" s="10"/>
    </row>
    <row r="23" spans="1:6" ht="17.100000000000001" customHeight="1">
      <c r="A23" s="7">
        <v>18</v>
      </c>
      <c r="B23" s="214" t="s">
        <v>128</v>
      </c>
      <c r="C23" s="152"/>
      <c r="D23" s="11"/>
      <c r="E23" s="2"/>
      <c r="F23" s="10"/>
    </row>
    <row r="24" spans="1:6" ht="17.100000000000001" customHeight="1">
      <c r="A24" s="8">
        <v>19</v>
      </c>
      <c r="B24" s="214" t="s">
        <v>129</v>
      </c>
      <c r="C24" s="152"/>
      <c r="D24" s="11"/>
      <c r="E24" s="2"/>
      <c r="F24" s="10"/>
    </row>
    <row r="25" spans="1:6" ht="17.100000000000001" customHeight="1">
      <c r="A25" s="9">
        <v>20</v>
      </c>
      <c r="B25" s="214" t="s">
        <v>130</v>
      </c>
      <c r="C25" s="152"/>
      <c r="D25" s="11"/>
      <c r="E25" s="2"/>
      <c r="F25" s="10"/>
    </row>
    <row r="26" spans="1:6" ht="17.100000000000001" customHeight="1">
      <c r="A26" s="7">
        <v>21</v>
      </c>
      <c r="B26" s="214" t="s">
        <v>131</v>
      </c>
      <c r="C26" s="152"/>
      <c r="D26" s="11"/>
      <c r="E26" s="2"/>
      <c r="F26" s="10"/>
    </row>
    <row r="27" spans="1:6" ht="17.100000000000001" customHeight="1">
      <c r="A27" s="7">
        <v>22</v>
      </c>
      <c r="B27" s="214" t="s">
        <v>132</v>
      </c>
      <c r="C27" s="152"/>
      <c r="D27" s="11"/>
      <c r="E27" s="2"/>
      <c r="F27" s="10"/>
    </row>
    <row r="28" spans="1:6" ht="17.100000000000001" customHeight="1">
      <c r="A28" s="8">
        <v>23</v>
      </c>
      <c r="B28" s="214" t="s">
        <v>133</v>
      </c>
      <c r="C28" s="152"/>
      <c r="D28" s="11"/>
      <c r="E28" s="2"/>
      <c r="F28" s="10"/>
    </row>
    <row r="29" spans="1:6" ht="17.100000000000001" customHeight="1">
      <c r="A29" s="9">
        <v>24</v>
      </c>
      <c r="B29" s="214" t="s">
        <v>134</v>
      </c>
      <c r="C29" s="152"/>
      <c r="D29" s="11"/>
      <c r="E29" s="2"/>
      <c r="F29" s="10"/>
    </row>
    <row r="30" spans="1:6" ht="17.100000000000001" customHeight="1">
      <c r="A30" s="7">
        <v>25</v>
      </c>
      <c r="B30" s="214" t="s">
        <v>135</v>
      </c>
      <c r="C30" s="152"/>
      <c r="D30" s="11"/>
      <c r="E30" s="2"/>
      <c r="F30" s="10"/>
    </row>
    <row r="31" spans="1:6" ht="17.100000000000001" customHeight="1">
      <c r="A31" s="8">
        <v>26</v>
      </c>
      <c r="B31" s="214" t="s">
        <v>136</v>
      </c>
      <c r="C31" s="152"/>
      <c r="D31" s="11"/>
      <c r="E31" s="2"/>
      <c r="F31" s="10"/>
    </row>
    <row r="32" spans="1:6" ht="17.100000000000001" customHeight="1">
      <c r="A32" s="9">
        <v>27</v>
      </c>
      <c r="B32" s="214" t="s">
        <v>137</v>
      </c>
      <c r="C32" s="152"/>
      <c r="D32" s="11"/>
      <c r="E32" s="2"/>
      <c r="F32" s="10"/>
    </row>
    <row r="33" spans="1:6" ht="17.100000000000001" customHeight="1">
      <c r="A33" s="7">
        <v>28</v>
      </c>
      <c r="B33" s="214" t="s">
        <v>138</v>
      </c>
      <c r="C33" s="152"/>
      <c r="D33" s="11"/>
      <c r="E33" s="2"/>
      <c r="F33" s="10"/>
    </row>
    <row r="34" spans="1:6" ht="17.100000000000001" customHeight="1">
      <c r="A34" s="7">
        <v>29</v>
      </c>
      <c r="B34" s="238" t="s">
        <v>139</v>
      </c>
      <c r="C34" s="152"/>
      <c r="D34" s="11"/>
      <c r="E34" s="2"/>
      <c r="F34" s="10"/>
    </row>
    <row r="35" spans="1:6" ht="17.100000000000001" customHeight="1">
      <c r="A35" s="8">
        <v>30</v>
      </c>
      <c r="B35" s="214" t="s">
        <v>140</v>
      </c>
      <c r="C35" s="152"/>
      <c r="D35" s="11"/>
      <c r="E35" s="2"/>
      <c r="F35" s="10"/>
    </row>
    <row r="36" spans="1:6" ht="17.100000000000001" customHeight="1">
      <c r="A36" s="9">
        <v>31</v>
      </c>
      <c r="B36" s="214" t="s">
        <v>141</v>
      </c>
      <c r="C36" s="152"/>
      <c r="D36" s="11"/>
      <c r="E36" s="2"/>
      <c r="F36" s="10"/>
    </row>
    <row r="37" spans="1:6" ht="17.100000000000001" customHeight="1">
      <c r="A37" s="7">
        <v>32</v>
      </c>
      <c r="B37" s="214" t="s">
        <v>142</v>
      </c>
      <c r="C37" s="152"/>
      <c r="D37" s="11"/>
      <c r="E37" s="2"/>
      <c r="F37" s="10"/>
    </row>
    <row r="38" spans="1:6" ht="17.100000000000001" customHeight="1">
      <c r="A38" s="8">
        <v>33</v>
      </c>
      <c r="B38" s="214" t="s">
        <v>143</v>
      </c>
      <c r="C38" s="152"/>
      <c r="D38" s="11"/>
      <c r="E38" s="2"/>
      <c r="F38" s="10"/>
    </row>
    <row r="39" spans="1:6" ht="17.100000000000001" customHeight="1">
      <c r="A39" s="9">
        <v>34</v>
      </c>
      <c r="B39" s="214" t="s">
        <v>144</v>
      </c>
      <c r="C39" s="152"/>
      <c r="D39" s="189"/>
      <c r="E39" s="102"/>
      <c r="F39" s="190"/>
    </row>
    <row r="40" spans="1:6" ht="17.100000000000001" customHeight="1">
      <c r="A40" s="7">
        <v>35</v>
      </c>
      <c r="B40" s="238" t="s">
        <v>145</v>
      </c>
      <c r="C40" s="152"/>
      <c r="D40" s="101"/>
      <c r="E40" s="102"/>
      <c r="F40" s="103"/>
    </row>
    <row r="41" spans="1:6" ht="17.100000000000001" customHeight="1">
      <c r="A41" s="7">
        <v>36</v>
      </c>
      <c r="B41" s="214"/>
      <c r="C41" s="152"/>
      <c r="D41" s="101"/>
      <c r="E41" s="102"/>
      <c r="F41" s="103"/>
    </row>
    <row r="42" spans="1:6" ht="17.100000000000001" customHeight="1">
      <c r="A42" s="8">
        <v>37</v>
      </c>
      <c r="B42" s="214"/>
      <c r="C42" s="152"/>
      <c r="D42" s="189"/>
      <c r="E42" s="102"/>
      <c r="F42" s="190"/>
    </row>
    <row r="43" spans="1:6" ht="17.100000000000001" customHeight="1">
      <c r="A43" s="9">
        <v>38</v>
      </c>
      <c r="B43" s="214"/>
      <c r="C43" s="152"/>
      <c r="D43" s="189"/>
      <c r="E43" s="102"/>
      <c r="F43" s="190"/>
    </row>
    <row r="44" spans="1:6" ht="17.100000000000001" customHeight="1">
      <c r="A44" s="7">
        <v>39</v>
      </c>
      <c r="B44" s="214"/>
      <c r="C44" s="152"/>
      <c r="D44" s="189"/>
      <c r="E44" s="102"/>
      <c r="F44" s="190"/>
    </row>
    <row r="45" spans="1:6" ht="17.100000000000001" customHeight="1">
      <c r="A45" s="8">
        <v>40</v>
      </c>
      <c r="B45" s="214"/>
      <c r="C45" s="152"/>
      <c r="D45" s="189"/>
      <c r="E45" s="102"/>
      <c r="F45" s="190"/>
    </row>
    <row r="46" spans="1:6">
      <c r="A46" s="9">
        <v>41</v>
      </c>
      <c r="B46" s="231"/>
      <c r="C46" s="152"/>
      <c r="D46" s="232"/>
      <c r="E46" s="221"/>
      <c r="F46" s="190"/>
    </row>
    <row r="47" spans="1:6">
      <c r="A47" s="7">
        <v>42</v>
      </c>
      <c r="B47" s="231"/>
      <c r="C47" s="152"/>
      <c r="D47" s="232"/>
      <c r="E47" s="221"/>
      <c r="F47" s="190"/>
    </row>
    <row r="48" spans="1:6">
      <c r="A48" s="8">
        <v>43</v>
      </c>
      <c r="B48" s="231"/>
      <c r="C48" s="152"/>
      <c r="D48" s="232"/>
      <c r="E48" s="221"/>
      <c r="F48" s="190"/>
    </row>
    <row r="49" spans="1:6">
      <c r="A49" s="9">
        <v>44</v>
      </c>
      <c r="B49" s="231"/>
      <c r="C49" s="152"/>
      <c r="D49" s="232"/>
      <c r="E49" s="221"/>
      <c r="F49" s="190"/>
    </row>
    <row r="50" spans="1:6">
      <c r="A50" s="7">
        <v>45</v>
      </c>
      <c r="B50" s="231"/>
      <c r="C50" s="152"/>
      <c r="D50" s="232"/>
      <c r="E50" s="221"/>
      <c r="F50" s="190"/>
    </row>
  </sheetData>
  <protectedRanges>
    <protectedRange sqref="B7:B8" name="Rango1_1_1_1_2_1_3"/>
    <protectedRange sqref="B10" name="Rango1_1_1_1_1_2_3"/>
    <protectedRange sqref="B11" name="Rango1_1_1_1_1_1_1_3"/>
    <protectedRange sqref="B20 B29" name="Rango1_1_1_1_5"/>
    <protectedRange sqref="B22 B31" name="Rango1_1_1_1_1_4"/>
    <protectedRange sqref="B32" name="Rango1_1_1_1_3_1_3"/>
  </protectedRanges>
  <customSheetViews>
    <customSheetView guid="{2AA0188C-879C-4D95-82F5-15F4B34AA912}">
      <selection activeCell="B2" sqref="B2"/>
      <pageMargins left="0.56999999999999995" right="0.59" top="0.56999999999999995" bottom="0.66" header="0.3" footer="0.3"/>
      <pageSetup paperSize="9" orientation="portrait" horizontalDpi="4294967293" verticalDpi="0" r:id="rId1"/>
    </customSheetView>
  </customSheetViews>
  <mergeCells count="6">
    <mergeCell ref="F4:F5"/>
    <mergeCell ref="D2:E2"/>
    <mergeCell ref="A4:A5"/>
    <mergeCell ref="B4:B5"/>
    <mergeCell ref="C4:C5"/>
    <mergeCell ref="E4:E5"/>
  </mergeCells>
  <pageMargins left="0.56999999999999995" right="0.59" top="0.56999999999999995" bottom="0.66" header="0.3" footer="0.3"/>
  <pageSetup paperSize="9" orientation="portrait" horizontalDpi="4294967293"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FF0000"/>
  </sheetPr>
  <dimension ref="A1:G50"/>
  <sheetViews>
    <sheetView topLeftCell="A4" workbookViewId="0">
      <selection activeCell="C6" sqref="C6:C40"/>
    </sheetView>
  </sheetViews>
  <sheetFormatPr defaultColWidth="11.42578125" defaultRowHeight="15"/>
  <cols>
    <col min="1" max="1" width="4.28515625" customWidth="1"/>
    <col min="2" max="2" width="45.140625" bestFit="1" customWidth="1"/>
    <col min="3" max="3" width="9" bestFit="1" customWidth="1"/>
    <col min="4" max="6" width="8.7109375" customWidth="1"/>
    <col min="7" max="7" width="15.5703125" customWidth="1"/>
  </cols>
  <sheetData>
    <row r="1" spans="1:7">
      <c r="A1" s="18"/>
      <c r="B1" s="18"/>
      <c r="C1" s="18"/>
      <c r="D1" s="18"/>
      <c r="E1" s="18"/>
      <c r="F1" s="18"/>
      <c r="G1" s="18"/>
    </row>
    <row r="2" spans="1:7" ht="18.75">
      <c r="A2" s="19"/>
      <c r="B2" s="20" t="str">
        <f>NOMINA!$B$2</f>
        <v>CURSO 2A</v>
      </c>
      <c r="C2" s="21" t="s">
        <v>6</v>
      </c>
      <c r="D2" s="268" t="s">
        <v>36</v>
      </c>
      <c r="E2" s="269"/>
      <c r="F2" s="18"/>
      <c r="G2" s="18"/>
    </row>
    <row r="3" spans="1:7" ht="15.75" thickBot="1">
      <c r="A3" s="18"/>
      <c r="B3" s="18"/>
      <c r="C3" s="18"/>
      <c r="D3" s="18"/>
      <c r="E3" s="18"/>
      <c r="F3" s="18"/>
      <c r="G3" s="18"/>
    </row>
    <row r="4" spans="1:7" ht="15.75" customHeight="1" thickBot="1">
      <c r="A4" s="264" t="s">
        <v>0</v>
      </c>
      <c r="B4" s="266" t="s">
        <v>1</v>
      </c>
      <c r="C4" s="173" t="s">
        <v>81</v>
      </c>
      <c r="D4" s="173" t="s">
        <v>82</v>
      </c>
      <c r="E4" s="173" t="s">
        <v>83</v>
      </c>
      <c r="F4" s="262" t="s">
        <v>32</v>
      </c>
      <c r="G4" s="263"/>
    </row>
    <row r="5" spans="1:7" ht="44.25" customHeight="1">
      <c r="A5" s="265"/>
      <c r="B5" s="267"/>
      <c r="C5" s="174" t="s">
        <v>33</v>
      </c>
      <c r="D5" s="174" t="s">
        <v>33</v>
      </c>
      <c r="E5" s="174" t="s">
        <v>33</v>
      </c>
      <c r="F5" s="175" t="s">
        <v>34</v>
      </c>
      <c r="G5" s="176" t="s">
        <v>80</v>
      </c>
    </row>
    <row r="6" spans="1:7">
      <c r="A6" s="22">
        <f>NOMINA!A6</f>
        <v>1</v>
      </c>
      <c r="B6" s="23" t="str">
        <f>NOMINA!B6</f>
        <v>ABREU MARRERO LIZ DANIELA</v>
      </c>
      <c r="C6" s="215">
        <v>54</v>
      </c>
      <c r="D6" s="24"/>
      <c r="E6" s="24"/>
      <c r="F6" s="216">
        <f t="shared" ref="F6:F50" si="0">IF(ROUND((C6+D6+E6)/3,0)&gt;0,ROUND((C6+D6+E6)/3,0)," ")</f>
        <v>18</v>
      </c>
      <c r="G6" s="25"/>
    </row>
    <row r="7" spans="1:7">
      <c r="A7" s="26">
        <f>NOMINA!A7</f>
        <v>2</v>
      </c>
      <c r="B7" s="23" t="str">
        <f>NOMINA!B7</f>
        <v>ALIAGA SAAVEDRA MARCU MAURICIO</v>
      </c>
      <c r="C7" s="215">
        <v>53</v>
      </c>
      <c r="D7" s="24"/>
      <c r="E7" s="24"/>
      <c r="F7" s="216">
        <f t="shared" si="0"/>
        <v>18</v>
      </c>
      <c r="G7" s="25"/>
    </row>
    <row r="8" spans="1:7">
      <c r="A8" s="26">
        <f>NOMINA!A8</f>
        <v>3</v>
      </c>
      <c r="B8" s="23" t="str">
        <f>NOMINA!B8</f>
        <v>ANTEZANA CACHI JOSE MAXWEL</v>
      </c>
      <c r="C8" s="215">
        <v>65</v>
      </c>
      <c r="D8" s="24"/>
      <c r="E8" s="24"/>
      <c r="F8" s="216">
        <f t="shared" si="0"/>
        <v>22</v>
      </c>
      <c r="G8" s="25"/>
    </row>
    <row r="9" spans="1:7">
      <c r="A9" s="22">
        <f>NOMINA!A9</f>
        <v>4</v>
      </c>
      <c r="B9" s="23" t="str">
        <f>NOMINA!B9</f>
        <v>ARIZACA SALGUERO SANTIAGO</v>
      </c>
      <c r="C9" s="215">
        <v>46</v>
      </c>
      <c r="D9" s="24"/>
      <c r="E9" s="24"/>
      <c r="F9" s="216">
        <f t="shared" si="0"/>
        <v>15</v>
      </c>
      <c r="G9" s="25"/>
    </row>
    <row r="10" spans="1:7">
      <c r="A10" s="26">
        <f>NOMINA!A10</f>
        <v>5</v>
      </c>
      <c r="B10" s="23" t="str">
        <f>NOMINA!B10</f>
        <v>BAUTISTA GARCIA ALISON LUCIANA</v>
      </c>
      <c r="C10" s="215">
        <v>52</v>
      </c>
      <c r="D10" s="24"/>
      <c r="E10" s="24"/>
      <c r="F10" s="216">
        <f t="shared" si="0"/>
        <v>17</v>
      </c>
      <c r="G10" s="25"/>
    </row>
    <row r="11" spans="1:7">
      <c r="A11" s="26">
        <f>NOMINA!A11</f>
        <v>6</v>
      </c>
      <c r="B11" s="23" t="str">
        <f>NOMINA!B11</f>
        <v>BOLIVAR REVOLLO NIVARDO ADOLFO</v>
      </c>
      <c r="C11" s="215">
        <v>51</v>
      </c>
      <c r="D11" s="24"/>
      <c r="E11" s="24"/>
      <c r="F11" s="216">
        <f t="shared" si="0"/>
        <v>17</v>
      </c>
      <c r="G11" s="25"/>
    </row>
    <row r="12" spans="1:7">
      <c r="A12" s="22">
        <f>NOMINA!A12</f>
        <v>7</v>
      </c>
      <c r="B12" s="23" t="str">
        <f>NOMINA!B12</f>
        <v>CADIMA SOLIZ NICOLAS</v>
      </c>
      <c r="C12" s="215">
        <v>46</v>
      </c>
      <c r="D12" s="24"/>
      <c r="E12" s="24"/>
      <c r="F12" s="216">
        <f t="shared" si="0"/>
        <v>15</v>
      </c>
      <c r="G12" s="25"/>
    </row>
    <row r="13" spans="1:7">
      <c r="A13" s="26">
        <f>NOMINA!A13</f>
        <v>8</v>
      </c>
      <c r="B13" s="23" t="str">
        <f>NOMINA!B13</f>
        <v>CALLE PEREZ ANDREA BELEN</v>
      </c>
      <c r="C13" s="215">
        <v>78</v>
      </c>
      <c r="D13" s="24"/>
      <c r="E13" s="24"/>
      <c r="F13" s="216">
        <f t="shared" si="0"/>
        <v>26</v>
      </c>
      <c r="G13" s="25"/>
    </row>
    <row r="14" spans="1:7">
      <c r="A14" s="26">
        <f>NOMINA!A14</f>
        <v>9</v>
      </c>
      <c r="B14" s="23" t="str">
        <f>NOMINA!B14</f>
        <v>CHAVEZ AMURRIO SEBASTIAN FABIAN</v>
      </c>
      <c r="C14" s="215">
        <v>44</v>
      </c>
      <c r="D14" s="24"/>
      <c r="E14" s="24"/>
      <c r="F14" s="216">
        <f t="shared" si="0"/>
        <v>15</v>
      </c>
      <c r="G14" s="25"/>
    </row>
    <row r="15" spans="1:7">
      <c r="A15" s="22">
        <f>NOMINA!A15</f>
        <v>10</v>
      </c>
      <c r="B15" s="23" t="str">
        <f>NOMINA!B15</f>
        <v>CHOQUE ARISPE YURIANA LUCIA</v>
      </c>
      <c r="C15" s="215">
        <v>51</v>
      </c>
      <c r="D15" s="24"/>
      <c r="E15" s="24"/>
      <c r="F15" s="216">
        <f t="shared" si="0"/>
        <v>17</v>
      </c>
      <c r="G15" s="25"/>
    </row>
    <row r="16" spans="1:7">
      <c r="A16" s="26">
        <f>NOMINA!A16</f>
        <v>11</v>
      </c>
      <c r="B16" s="23" t="str">
        <f>NOMINA!B16</f>
        <v>CHOQUE PERALTA JHOEL ELIAZAR</v>
      </c>
      <c r="C16" s="215">
        <v>85</v>
      </c>
      <c r="D16" s="24"/>
      <c r="E16" s="24"/>
      <c r="F16" s="216">
        <f t="shared" si="0"/>
        <v>28</v>
      </c>
      <c r="G16" s="25"/>
    </row>
    <row r="17" spans="1:7">
      <c r="A17" s="26">
        <f>NOMINA!A17</f>
        <v>12</v>
      </c>
      <c r="B17" s="23" t="str">
        <f>NOMINA!B17</f>
        <v>COPA RIVERO MARCIA MARCELA</v>
      </c>
      <c r="C17" s="215">
        <v>43</v>
      </c>
      <c r="D17" s="24"/>
      <c r="E17" s="24"/>
      <c r="F17" s="216">
        <f t="shared" si="0"/>
        <v>14</v>
      </c>
      <c r="G17" s="25"/>
    </row>
    <row r="18" spans="1:7">
      <c r="A18" s="22">
        <f>NOMINA!A18</f>
        <v>13</v>
      </c>
      <c r="B18" s="23" t="str">
        <f>NOMINA!B18</f>
        <v>CORIA URUÑO CHRISTOPER GABRIEL</v>
      </c>
      <c r="C18" s="215">
        <v>69</v>
      </c>
      <c r="D18" s="24"/>
      <c r="E18" s="24"/>
      <c r="F18" s="216">
        <f t="shared" si="0"/>
        <v>23</v>
      </c>
      <c r="G18" s="25"/>
    </row>
    <row r="19" spans="1:7">
      <c r="A19" s="26">
        <f>NOMINA!A19</f>
        <v>14</v>
      </c>
      <c r="B19" s="23" t="str">
        <f>NOMINA!B19</f>
        <v>FLORES BALLESTEROS LEANDRO FRANK</v>
      </c>
      <c r="C19" s="215">
        <v>68</v>
      </c>
      <c r="D19" s="24"/>
      <c r="E19" s="24"/>
      <c r="F19" s="216">
        <f t="shared" si="0"/>
        <v>23</v>
      </c>
      <c r="G19" s="25" t="s">
        <v>47</v>
      </c>
    </row>
    <row r="20" spans="1:7">
      <c r="A20" s="26">
        <f>NOMINA!A20</f>
        <v>15</v>
      </c>
      <c r="B20" s="23" t="str">
        <f>NOMINA!B20</f>
        <v>GONZALES MOLINA ARIANET BELEN</v>
      </c>
      <c r="C20" s="215">
        <v>79</v>
      </c>
      <c r="D20" s="24"/>
      <c r="E20" s="24"/>
      <c r="F20" s="216">
        <f t="shared" si="0"/>
        <v>26</v>
      </c>
      <c r="G20" s="25"/>
    </row>
    <row r="21" spans="1:7">
      <c r="A21" s="22">
        <f>NOMINA!A21</f>
        <v>16</v>
      </c>
      <c r="B21" s="23" t="str">
        <f>NOMINA!B21</f>
        <v>GUAQUIPA BECERRA NICOLAS ALEX</v>
      </c>
      <c r="C21" s="215">
        <v>79</v>
      </c>
      <c r="D21" s="24"/>
      <c r="E21" s="24"/>
      <c r="F21" s="216">
        <f t="shared" si="0"/>
        <v>26</v>
      </c>
      <c r="G21" s="25"/>
    </row>
    <row r="22" spans="1:7">
      <c r="A22" s="26">
        <f>NOMINA!A22</f>
        <v>17</v>
      </c>
      <c r="B22" s="23" t="str">
        <f>NOMINA!B22</f>
        <v>HUANQUIRI MAMANI JHOSMAR</v>
      </c>
      <c r="C22" s="215">
        <v>43</v>
      </c>
      <c r="D22" s="24"/>
      <c r="E22" s="24"/>
      <c r="F22" s="216">
        <f t="shared" si="0"/>
        <v>14</v>
      </c>
      <c r="G22" s="25"/>
    </row>
    <row r="23" spans="1:7">
      <c r="A23" s="26">
        <f>NOMINA!A23</f>
        <v>18</v>
      </c>
      <c r="B23" s="23" t="str">
        <f>NOMINA!B23</f>
        <v>JOVE ARNEZ ANDREA LUCIANA</v>
      </c>
      <c r="C23" s="215">
        <v>52</v>
      </c>
      <c r="D23" s="24"/>
      <c r="E23" s="24"/>
      <c r="F23" s="216">
        <f t="shared" si="0"/>
        <v>17</v>
      </c>
      <c r="G23" s="25"/>
    </row>
    <row r="24" spans="1:7">
      <c r="A24" s="22">
        <f>NOMINA!A24</f>
        <v>19</v>
      </c>
      <c r="B24" s="23" t="str">
        <f>NOMINA!B24</f>
        <v>LAFUENTE ORTUÑO VICTORIA VALENTINA</v>
      </c>
      <c r="C24" s="215">
        <v>41</v>
      </c>
      <c r="D24" s="24"/>
      <c r="E24" s="24"/>
      <c r="F24" s="216">
        <f t="shared" si="0"/>
        <v>14</v>
      </c>
      <c r="G24" s="25"/>
    </row>
    <row r="25" spans="1:7">
      <c r="A25" s="26">
        <f>NOMINA!A25</f>
        <v>20</v>
      </c>
      <c r="B25" s="23" t="str">
        <f>NOMINA!B25</f>
        <v>MAGNANI CANAVIRI JOSUE JHONATHAN</v>
      </c>
      <c r="C25" s="215">
        <v>60</v>
      </c>
      <c r="D25" s="24"/>
      <c r="E25" s="24"/>
      <c r="F25" s="216">
        <f t="shared" si="0"/>
        <v>20</v>
      </c>
      <c r="G25" s="25"/>
    </row>
    <row r="26" spans="1:7">
      <c r="A26" s="26">
        <f>NOMINA!A26</f>
        <v>21</v>
      </c>
      <c r="B26" s="23" t="str">
        <f>NOMINA!B26</f>
        <v>MERUVIA GUTIERREZ ASHLY SCARLETT</v>
      </c>
      <c r="C26" s="215">
        <v>96</v>
      </c>
      <c r="D26" s="24"/>
      <c r="E26" s="24"/>
      <c r="F26" s="216">
        <f t="shared" si="0"/>
        <v>32</v>
      </c>
      <c r="G26" s="25"/>
    </row>
    <row r="27" spans="1:7">
      <c r="A27" s="22">
        <f>NOMINA!A27</f>
        <v>22</v>
      </c>
      <c r="B27" s="23" t="str">
        <f>NOMINA!B27</f>
        <v>MONTAÑO QUILO BENJAMIN GONZALO</v>
      </c>
      <c r="C27" s="215">
        <v>44</v>
      </c>
      <c r="D27" s="24"/>
      <c r="E27" s="24"/>
      <c r="F27" s="216">
        <f t="shared" si="0"/>
        <v>15</v>
      </c>
      <c r="G27" s="25"/>
    </row>
    <row r="28" spans="1:7">
      <c r="A28" s="26">
        <f>NOMINA!A28</f>
        <v>23</v>
      </c>
      <c r="B28" s="23" t="str">
        <f>NOMINA!B28</f>
        <v>PANIAGUA VARGAS KEYLA</v>
      </c>
      <c r="C28" s="215">
        <v>57</v>
      </c>
      <c r="D28" s="24"/>
      <c r="E28" s="24"/>
      <c r="F28" s="216">
        <f t="shared" si="0"/>
        <v>19</v>
      </c>
      <c r="G28" s="25"/>
    </row>
    <row r="29" spans="1:7">
      <c r="A29" s="26">
        <f>NOMINA!A29</f>
        <v>24</v>
      </c>
      <c r="B29" s="23" t="str">
        <f>NOMINA!B29</f>
        <v>PATZI GUARACHI MARIA BELEN</v>
      </c>
      <c r="C29" s="215">
        <v>86</v>
      </c>
      <c r="D29" s="24"/>
      <c r="E29" s="24"/>
      <c r="F29" s="216">
        <f t="shared" si="0"/>
        <v>29</v>
      </c>
      <c r="G29" s="25"/>
    </row>
    <row r="30" spans="1:7">
      <c r="A30" s="22">
        <f>NOMINA!A30</f>
        <v>25</v>
      </c>
      <c r="B30" s="23" t="str">
        <f>NOMINA!B30</f>
        <v>QUENALLATA CESPEDES LUMAIDA YANISS</v>
      </c>
      <c r="C30" s="215">
        <v>43</v>
      </c>
      <c r="D30" s="24"/>
      <c r="E30" s="24"/>
      <c r="F30" s="216">
        <f t="shared" si="0"/>
        <v>14</v>
      </c>
      <c r="G30" s="25"/>
    </row>
    <row r="31" spans="1:7">
      <c r="A31" s="26">
        <f>NOMINA!A31</f>
        <v>26</v>
      </c>
      <c r="B31" s="23" t="str">
        <f>NOMINA!B31</f>
        <v>QUISPE ESCARZA CIELO</v>
      </c>
      <c r="C31" s="215">
        <v>47</v>
      </c>
      <c r="D31" s="24"/>
      <c r="E31" s="24"/>
      <c r="F31" s="216">
        <f t="shared" si="0"/>
        <v>16</v>
      </c>
      <c r="G31" s="25"/>
    </row>
    <row r="32" spans="1:7">
      <c r="A32" s="26">
        <f>NOMINA!A32</f>
        <v>27</v>
      </c>
      <c r="B32" s="23" t="str">
        <f>NOMINA!B32</f>
        <v>QUISPE MILAN ADRIAN ANTHONY</v>
      </c>
      <c r="C32" s="215">
        <v>57</v>
      </c>
      <c r="D32" s="24"/>
      <c r="E32" s="24"/>
      <c r="F32" s="216">
        <f t="shared" si="0"/>
        <v>19</v>
      </c>
      <c r="G32" s="25"/>
    </row>
    <row r="33" spans="1:7">
      <c r="A33" s="22">
        <f>NOMINA!A33</f>
        <v>28</v>
      </c>
      <c r="B33" s="23" t="str">
        <f>NOMINA!B33</f>
        <v>ROMAN TITO MATEO</v>
      </c>
      <c r="C33" s="215">
        <v>75</v>
      </c>
      <c r="D33" s="24"/>
      <c r="E33" s="24"/>
      <c r="F33" s="216">
        <f t="shared" si="0"/>
        <v>25</v>
      </c>
      <c r="G33" s="25"/>
    </row>
    <row r="34" spans="1:7">
      <c r="A34" s="26">
        <f>NOMINA!A34</f>
        <v>29</v>
      </c>
      <c r="B34" s="23" t="str">
        <f>NOMINA!B34</f>
        <v xml:space="preserve">SILES MAMANI JUSTIN ANGEL </v>
      </c>
      <c r="C34" s="215">
        <v>54</v>
      </c>
      <c r="D34" s="24"/>
      <c r="E34" s="24"/>
      <c r="F34" s="216">
        <f t="shared" si="0"/>
        <v>18</v>
      </c>
      <c r="G34" s="25"/>
    </row>
    <row r="35" spans="1:7">
      <c r="A35" s="26">
        <f>NOMINA!A35</f>
        <v>30</v>
      </c>
      <c r="B35" s="23" t="str">
        <f>NOMINA!B35</f>
        <v>TERAN COCA DIEGO NICOLAS</v>
      </c>
      <c r="C35" s="215">
        <v>60</v>
      </c>
      <c r="D35" s="24"/>
      <c r="E35" s="24"/>
      <c r="F35" s="216">
        <f t="shared" si="0"/>
        <v>20</v>
      </c>
      <c r="G35" s="25"/>
    </row>
    <row r="36" spans="1:7">
      <c r="A36" s="22">
        <f>NOMINA!A36</f>
        <v>31</v>
      </c>
      <c r="B36" s="23" t="str">
        <f>NOMINA!B36</f>
        <v>URIA LOPEZ SEBASTIAN ARIEL</v>
      </c>
      <c r="C36" s="215">
        <v>51</v>
      </c>
      <c r="D36" s="24"/>
      <c r="E36" s="24"/>
      <c r="F36" s="216">
        <f t="shared" si="0"/>
        <v>17</v>
      </c>
      <c r="G36" s="25"/>
    </row>
    <row r="37" spans="1:7">
      <c r="A37" s="26">
        <f>NOMINA!A37</f>
        <v>32</v>
      </c>
      <c r="B37" s="23" t="str">
        <f>NOMINA!B37</f>
        <v>VASQUEZ ESPINOZA JHONATAN YAYCOB</v>
      </c>
      <c r="C37" s="215">
        <v>58</v>
      </c>
      <c r="D37" s="24"/>
      <c r="E37" s="24"/>
      <c r="F37" s="216">
        <f t="shared" si="0"/>
        <v>19</v>
      </c>
      <c r="G37" s="25"/>
    </row>
    <row r="38" spans="1:7">
      <c r="A38" s="26">
        <f>NOMINA!A38</f>
        <v>33</v>
      </c>
      <c r="B38" s="23" t="str">
        <f>NOMINA!B38</f>
        <v>VEIZAGA LEDEZMA SEBASTIAN</v>
      </c>
      <c r="C38" s="215">
        <v>67</v>
      </c>
      <c r="D38" s="24"/>
      <c r="E38" s="24"/>
      <c r="F38" s="216">
        <f t="shared" si="0"/>
        <v>22</v>
      </c>
      <c r="G38" s="25"/>
    </row>
    <row r="39" spans="1:7">
      <c r="A39" s="22">
        <f>NOMINA!A39</f>
        <v>34</v>
      </c>
      <c r="B39" s="23" t="str">
        <f>NOMINA!B39</f>
        <v>VILLARROEL CUCHILLO HUGO SEBASTIAN</v>
      </c>
      <c r="C39" s="215">
        <v>51</v>
      </c>
      <c r="D39" s="24"/>
      <c r="E39" s="24"/>
      <c r="F39" s="216">
        <f t="shared" si="0"/>
        <v>17</v>
      </c>
      <c r="G39" s="25"/>
    </row>
    <row r="40" spans="1:7">
      <c r="A40" s="26">
        <f>NOMINA!A40</f>
        <v>35</v>
      </c>
      <c r="B40" s="23" t="str">
        <f>NOMINA!B40</f>
        <v>ZAMBRANA MENDEZ MIRCO ALEXANDER</v>
      </c>
      <c r="C40" s="215">
        <v>45</v>
      </c>
      <c r="D40" s="24"/>
      <c r="E40" s="24"/>
      <c r="F40" s="216">
        <f t="shared" si="0"/>
        <v>15</v>
      </c>
      <c r="G40" s="25"/>
    </row>
    <row r="41" spans="1:7">
      <c r="A41" s="26">
        <f>NOMINA!A41</f>
        <v>36</v>
      </c>
      <c r="B41" s="23">
        <f>NOMINA!B41</f>
        <v>0</v>
      </c>
      <c r="C41" s="215"/>
      <c r="D41" s="24"/>
      <c r="E41" s="24"/>
      <c r="F41" s="216" t="str">
        <f t="shared" si="0"/>
        <v xml:space="preserve"> </v>
      </c>
      <c r="G41" s="25"/>
    </row>
    <row r="42" spans="1:7">
      <c r="A42" s="22">
        <f>NOMINA!A42</f>
        <v>37</v>
      </c>
      <c r="B42" s="23">
        <f>NOMINA!B42</f>
        <v>0</v>
      </c>
      <c r="C42" s="215"/>
      <c r="D42" s="24"/>
      <c r="E42" s="24"/>
      <c r="F42" s="216" t="str">
        <f t="shared" si="0"/>
        <v xml:space="preserve"> </v>
      </c>
      <c r="G42" s="25"/>
    </row>
    <row r="43" spans="1:7">
      <c r="A43" s="26">
        <f>NOMINA!A43</f>
        <v>38</v>
      </c>
      <c r="B43" s="23">
        <f>NOMINA!B43</f>
        <v>0</v>
      </c>
      <c r="C43" s="215"/>
      <c r="D43" s="24"/>
      <c r="E43" s="24"/>
      <c r="F43" s="216" t="str">
        <f t="shared" si="0"/>
        <v xml:space="preserve"> </v>
      </c>
      <c r="G43" s="25"/>
    </row>
    <row r="44" spans="1:7">
      <c r="A44" s="26">
        <f>NOMINA!A44</f>
        <v>39</v>
      </c>
      <c r="B44" s="23">
        <f>NOMINA!B44</f>
        <v>0</v>
      </c>
      <c r="C44" s="215"/>
      <c r="D44" s="24"/>
      <c r="E44" s="24"/>
      <c r="F44" s="216" t="str">
        <f t="shared" si="0"/>
        <v xml:space="preserve"> </v>
      </c>
      <c r="G44" s="25"/>
    </row>
    <row r="45" spans="1:7">
      <c r="A45" s="22">
        <f>NOMINA!A45</f>
        <v>40</v>
      </c>
      <c r="B45" s="217">
        <f>NOMINA!B45</f>
        <v>0</v>
      </c>
      <c r="C45" s="218"/>
      <c r="D45" s="219"/>
      <c r="E45" s="219"/>
      <c r="F45" s="233" t="str">
        <f t="shared" si="0"/>
        <v xml:space="preserve"> </v>
      </c>
      <c r="G45" s="25"/>
    </row>
    <row r="46" spans="1:7">
      <c r="A46" s="22">
        <f>NOMINA!A46</f>
        <v>41</v>
      </c>
      <c r="B46" s="188">
        <f>NOMINA!B46</f>
        <v>0</v>
      </c>
      <c r="C46" s="218"/>
      <c r="D46" s="28"/>
      <c r="E46" s="28"/>
      <c r="F46" s="216" t="str">
        <f t="shared" si="0"/>
        <v xml:space="preserve"> </v>
      </c>
      <c r="G46" s="25"/>
    </row>
    <row r="47" spans="1:7">
      <c r="A47" s="22">
        <f>NOMINA!A47</f>
        <v>42</v>
      </c>
      <c r="B47" s="188">
        <f>NOMINA!B47</f>
        <v>0</v>
      </c>
      <c r="C47" s="218"/>
      <c r="D47" s="221"/>
      <c r="E47" s="221"/>
      <c r="F47" s="216" t="str">
        <f t="shared" si="0"/>
        <v xml:space="preserve"> </v>
      </c>
      <c r="G47" s="25"/>
    </row>
    <row r="48" spans="1:7">
      <c r="A48" s="26">
        <f>NOMINA!A48</f>
        <v>43</v>
      </c>
      <c r="B48" s="188">
        <f>NOMINA!B48</f>
        <v>0</v>
      </c>
      <c r="C48" s="218"/>
      <c r="D48" s="221"/>
      <c r="E48" s="221"/>
      <c r="F48" s="216" t="str">
        <f t="shared" si="0"/>
        <v xml:space="preserve"> </v>
      </c>
      <c r="G48" s="25"/>
    </row>
    <row r="49" spans="1:7">
      <c r="A49" s="26">
        <f>NOMINA!A49</f>
        <v>44</v>
      </c>
      <c r="B49" s="188">
        <f>NOMINA!B49</f>
        <v>0</v>
      </c>
      <c r="C49" s="218"/>
      <c r="D49" s="221"/>
      <c r="E49" s="221"/>
      <c r="F49" s="216" t="str">
        <f t="shared" si="0"/>
        <v xml:space="preserve"> </v>
      </c>
      <c r="G49" s="25"/>
    </row>
    <row r="50" spans="1:7">
      <c r="A50" s="22">
        <f>NOMINA!A50</f>
        <v>45</v>
      </c>
      <c r="B50" s="188">
        <f>NOMINA!B50</f>
        <v>0</v>
      </c>
      <c r="C50" s="218"/>
      <c r="D50" s="221"/>
      <c r="E50" s="221"/>
      <c r="F50" s="216" t="str">
        <f t="shared" si="0"/>
        <v xml:space="preserve"> </v>
      </c>
      <c r="G50" s="25"/>
    </row>
  </sheetData>
  <protectedRanges>
    <protectedRange sqref="G6:G50" name="Rango2"/>
    <protectedRange sqref="D6:E46" name="Rango1"/>
  </protectedRanges>
  <customSheetViews>
    <customSheetView guid="{2AA0188C-879C-4D95-82F5-15F4B34AA912}">
      <selection activeCell="T19" sqref="T19"/>
      <pageMargins left="0.7" right="0.7" top="0.75" bottom="0.75" header="0.3" footer="0.3"/>
    </customSheetView>
  </customSheetViews>
  <mergeCells count="4">
    <mergeCell ref="F4:G4"/>
    <mergeCell ref="A4:A5"/>
    <mergeCell ref="B4:B5"/>
    <mergeCell ref="D2:E2"/>
  </mergeCells>
  <conditionalFormatting sqref="C6:F50">
    <cfRule type="cellIs" dxfId="43" priority="2" operator="lessThan">
      <formula>35</formula>
    </cfRule>
    <cfRule type="cellIs" dxfId="42" priority="3" operator="lessThan">
      <formula>51</formula>
    </cfRule>
  </conditionalFormatting>
  <dataValidations count="1">
    <dataValidation type="decimal" allowBlank="1" showInputMessage="1" showErrorMessage="1" sqref="C6:C50" xr:uid="{00000000-0002-0000-0100-000000000000}">
      <formula1>35</formula1>
      <formula2>100</formula2>
    </dataValidation>
  </dataValidations>
  <pageMargins left="0.6" right="0.54" top="0.75" bottom="0.75"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tabColor theme="3" tint="0.39997558519241921"/>
  </sheetPr>
  <dimension ref="A1:H50"/>
  <sheetViews>
    <sheetView workbookViewId="0">
      <selection activeCell="C6" sqref="C6:C40"/>
    </sheetView>
  </sheetViews>
  <sheetFormatPr defaultColWidth="11.42578125" defaultRowHeight="15"/>
  <cols>
    <col min="1" max="1" width="4.28515625" customWidth="1"/>
    <col min="2" max="2" width="45.140625" bestFit="1" customWidth="1"/>
    <col min="3" max="6" width="8.7109375" customWidth="1"/>
    <col min="7" max="7" width="15.5703125" customWidth="1"/>
  </cols>
  <sheetData>
    <row r="1" spans="1:8">
      <c r="A1" s="18"/>
      <c r="B1" s="18"/>
      <c r="C1" s="18"/>
      <c r="D1" s="18"/>
      <c r="E1" s="18"/>
      <c r="F1" s="18"/>
      <c r="G1" s="18"/>
    </row>
    <row r="2" spans="1:8" ht="22.5" customHeight="1">
      <c r="A2" s="19"/>
      <c r="B2" s="20" t="str">
        <f>NOMINA!$B$2</f>
        <v>CURSO 2A</v>
      </c>
      <c r="C2" s="21" t="s">
        <v>6</v>
      </c>
      <c r="D2" s="268" t="s">
        <v>10</v>
      </c>
      <c r="E2" s="269"/>
      <c r="F2" s="18"/>
      <c r="G2" s="18"/>
    </row>
    <row r="3" spans="1:8" ht="15.75" thickBot="1">
      <c r="A3" s="18"/>
      <c r="B3" s="18"/>
      <c r="C3" s="18"/>
      <c r="D3" s="18"/>
      <c r="E3" s="18"/>
      <c r="F3" s="18"/>
      <c r="G3" s="18"/>
    </row>
    <row r="4" spans="1:8" ht="15.75" customHeight="1" thickBot="1">
      <c r="A4" s="264" t="s">
        <v>0</v>
      </c>
      <c r="B4" s="266" t="s">
        <v>1</v>
      </c>
      <c r="C4" s="173" t="s">
        <v>81</v>
      </c>
      <c r="D4" s="173" t="s">
        <v>82</v>
      </c>
      <c r="E4" s="173" t="s">
        <v>83</v>
      </c>
      <c r="F4" s="262" t="s">
        <v>32</v>
      </c>
      <c r="G4" s="263"/>
    </row>
    <row r="5" spans="1:8" ht="44.25" customHeight="1">
      <c r="A5" s="265"/>
      <c r="B5" s="267"/>
      <c r="C5" s="174" t="s">
        <v>33</v>
      </c>
      <c r="D5" s="174" t="s">
        <v>33</v>
      </c>
      <c r="E5" s="174" t="s">
        <v>33</v>
      </c>
      <c r="F5" s="175" t="s">
        <v>34</v>
      </c>
      <c r="G5" s="176" t="s">
        <v>80</v>
      </c>
    </row>
    <row r="6" spans="1:8" ht="17.100000000000001" customHeight="1">
      <c r="A6" s="26">
        <f>NOMINA!A6</f>
        <v>1</v>
      </c>
      <c r="B6" s="188" t="str">
        <f>NOMINA!B6</f>
        <v>ABREU MARRERO LIZ DANIELA</v>
      </c>
      <c r="C6" s="215">
        <v>60</v>
      </c>
      <c r="D6" s="24"/>
      <c r="E6" s="24"/>
      <c r="F6" s="177">
        <f t="shared" ref="F6:F43" si="0">IF(ROUND((C6+D6+E6)/3,0)&gt;0,ROUND((C6+D6+E6)/3,0)," ")</f>
        <v>20</v>
      </c>
      <c r="G6" s="25"/>
    </row>
    <row r="7" spans="1:8" ht="17.100000000000001" customHeight="1">
      <c r="A7" s="26">
        <f>NOMINA!A7</f>
        <v>2</v>
      </c>
      <c r="B7" s="188" t="str">
        <f>NOMINA!B7</f>
        <v>ALIAGA SAAVEDRA MARCU MAURICIO</v>
      </c>
      <c r="C7" s="215">
        <v>66</v>
      </c>
      <c r="D7" s="24"/>
      <c r="E7" s="24"/>
      <c r="F7" s="177">
        <f t="shared" si="0"/>
        <v>22</v>
      </c>
      <c r="G7" s="25"/>
      <c r="H7" s="5"/>
    </row>
    <row r="8" spans="1:8" ht="17.100000000000001" customHeight="1">
      <c r="A8" s="26">
        <f>NOMINA!A8</f>
        <v>3</v>
      </c>
      <c r="B8" s="188" t="str">
        <f>NOMINA!B8</f>
        <v>ANTEZANA CACHI JOSE MAXWEL</v>
      </c>
      <c r="C8" s="215">
        <v>81</v>
      </c>
      <c r="D8" s="24"/>
      <c r="E8" s="24"/>
      <c r="F8" s="177">
        <f t="shared" si="0"/>
        <v>27</v>
      </c>
      <c r="G8" s="25"/>
    </row>
    <row r="9" spans="1:8" ht="17.100000000000001" customHeight="1">
      <c r="A9" s="26">
        <f>NOMINA!A9</f>
        <v>4</v>
      </c>
      <c r="B9" s="188" t="str">
        <f>NOMINA!B9</f>
        <v>ARIZACA SALGUERO SANTIAGO</v>
      </c>
      <c r="C9" s="215">
        <v>48</v>
      </c>
      <c r="D9" s="24"/>
      <c r="E9" s="24"/>
      <c r="F9" s="177">
        <f t="shared" si="0"/>
        <v>16</v>
      </c>
      <c r="G9" s="25"/>
    </row>
    <row r="10" spans="1:8" ht="17.100000000000001" customHeight="1">
      <c r="A10" s="26">
        <f>NOMINA!A10</f>
        <v>5</v>
      </c>
      <c r="B10" s="188" t="str">
        <f>NOMINA!B10</f>
        <v>BAUTISTA GARCIA ALISON LUCIANA</v>
      </c>
      <c r="C10" s="215">
        <v>57</v>
      </c>
      <c r="D10" s="24"/>
      <c r="E10" s="24"/>
      <c r="F10" s="177">
        <f t="shared" si="0"/>
        <v>19</v>
      </c>
      <c r="G10" s="25"/>
    </row>
    <row r="11" spans="1:8" ht="17.100000000000001" customHeight="1">
      <c r="A11" s="26">
        <f>NOMINA!A11</f>
        <v>6</v>
      </c>
      <c r="B11" s="188" t="str">
        <f>NOMINA!B11</f>
        <v>BOLIVAR REVOLLO NIVARDO ADOLFO</v>
      </c>
      <c r="C11" s="215">
        <v>63</v>
      </c>
      <c r="D11" s="24"/>
      <c r="E11" s="24"/>
      <c r="F11" s="177">
        <f t="shared" si="0"/>
        <v>21</v>
      </c>
      <c r="G11" s="25"/>
    </row>
    <row r="12" spans="1:8" ht="17.100000000000001" customHeight="1">
      <c r="A12" s="26">
        <f>NOMINA!A12</f>
        <v>7</v>
      </c>
      <c r="B12" s="188" t="str">
        <f>NOMINA!B12</f>
        <v>CADIMA SOLIZ NICOLAS</v>
      </c>
      <c r="C12" s="215">
        <v>47</v>
      </c>
      <c r="D12" s="24"/>
      <c r="E12" s="24"/>
      <c r="F12" s="177">
        <f t="shared" si="0"/>
        <v>16</v>
      </c>
      <c r="G12" s="25"/>
    </row>
    <row r="13" spans="1:8" ht="17.100000000000001" customHeight="1">
      <c r="A13" s="26">
        <f>NOMINA!A13</f>
        <v>8</v>
      </c>
      <c r="B13" s="188" t="str">
        <f>NOMINA!B13</f>
        <v>CALLE PEREZ ANDREA BELEN</v>
      </c>
      <c r="C13" s="215">
        <v>80</v>
      </c>
      <c r="D13" s="24"/>
      <c r="E13" s="24"/>
      <c r="F13" s="177">
        <f t="shared" si="0"/>
        <v>27</v>
      </c>
      <c r="G13" s="25"/>
    </row>
    <row r="14" spans="1:8" ht="17.100000000000001" customHeight="1">
      <c r="A14" s="26">
        <f>NOMINA!A14</f>
        <v>9</v>
      </c>
      <c r="B14" s="188" t="str">
        <f>NOMINA!B14</f>
        <v>CHAVEZ AMURRIO SEBASTIAN FABIAN</v>
      </c>
      <c r="C14" s="215">
        <v>45</v>
      </c>
      <c r="D14" s="24"/>
      <c r="E14" s="24"/>
      <c r="F14" s="177">
        <f t="shared" si="0"/>
        <v>15</v>
      </c>
      <c r="G14" s="25"/>
    </row>
    <row r="15" spans="1:8" ht="17.100000000000001" customHeight="1">
      <c r="A15" s="26">
        <f>NOMINA!A15</f>
        <v>10</v>
      </c>
      <c r="B15" s="188" t="str">
        <f>NOMINA!B15</f>
        <v>CHOQUE ARISPE YURIANA LUCIA</v>
      </c>
      <c r="C15" s="215">
        <v>58</v>
      </c>
      <c r="D15" s="24"/>
      <c r="E15" s="24"/>
      <c r="F15" s="177">
        <f t="shared" si="0"/>
        <v>19</v>
      </c>
      <c r="G15" s="25"/>
    </row>
    <row r="16" spans="1:8" ht="17.100000000000001" customHeight="1">
      <c r="A16" s="26">
        <f>NOMINA!A16</f>
        <v>11</v>
      </c>
      <c r="B16" s="188" t="str">
        <f>NOMINA!B16</f>
        <v>CHOQUE PERALTA JHOEL ELIAZAR</v>
      </c>
      <c r="C16" s="215">
        <v>90</v>
      </c>
      <c r="D16" s="24"/>
      <c r="E16" s="24"/>
      <c r="F16" s="177">
        <f t="shared" si="0"/>
        <v>30</v>
      </c>
      <c r="G16" s="25"/>
    </row>
    <row r="17" spans="1:7" ht="17.100000000000001" customHeight="1">
      <c r="A17" s="26">
        <f>NOMINA!A17</f>
        <v>12</v>
      </c>
      <c r="B17" s="188" t="str">
        <f>NOMINA!B17</f>
        <v>COPA RIVERO MARCIA MARCELA</v>
      </c>
      <c r="C17" s="215">
        <v>67</v>
      </c>
      <c r="D17" s="24"/>
      <c r="E17" s="24"/>
      <c r="F17" s="177">
        <f t="shared" si="0"/>
        <v>22</v>
      </c>
      <c r="G17" s="25"/>
    </row>
    <row r="18" spans="1:7" ht="17.100000000000001" customHeight="1">
      <c r="A18" s="26">
        <f>NOMINA!A18</f>
        <v>13</v>
      </c>
      <c r="B18" s="188" t="str">
        <f>NOMINA!B18</f>
        <v>CORIA URUÑO CHRISTOPER GABRIEL</v>
      </c>
      <c r="C18" s="215">
        <v>76</v>
      </c>
      <c r="D18" s="24"/>
      <c r="E18" s="24"/>
      <c r="F18" s="177">
        <f t="shared" si="0"/>
        <v>25</v>
      </c>
      <c r="G18" s="25"/>
    </row>
    <row r="19" spans="1:7" ht="17.100000000000001" customHeight="1">
      <c r="A19" s="26">
        <f>NOMINA!A19</f>
        <v>14</v>
      </c>
      <c r="B19" s="188" t="str">
        <f>NOMINA!B19</f>
        <v>FLORES BALLESTEROS LEANDRO FRANK</v>
      </c>
      <c r="C19" s="215">
        <v>61</v>
      </c>
      <c r="D19" s="24"/>
      <c r="E19" s="24"/>
      <c r="F19" s="177">
        <f t="shared" si="0"/>
        <v>20</v>
      </c>
      <c r="G19" s="25"/>
    </row>
    <row r="20" spans="1:7" ht="17.100000000000001" customHeight="1">
      <c r="A20" s="26">
        <f>NOMINA!A20</f>
        <v>15</v>
      </c>
      <c r="B20" s="188" t="str">
        <f>NOMINA!B20</f>
        <v>GONZALES MOLINA ARIANET BELEN</v>
      </c>
      <c r="C20" s="215">
        <v>79</v>
      </c>
      <c r="D20" s="24"/>
      <c r="E20" s="24"/>
      <c r="F20" s="177">
        <f t="shared" si="0"/>
        <v>26</v>
      </c>
      <c r="G20" s="25"/>
    </row>
    <row r="21" spans="1:7" ht="17.100000000000001" customHeight="1">
      <c r="A21" s="26">
        <f>NOMINA!A21</f>
        <v>16</v>
      </c>
      <c r="B21" s="188" t="str">
        <f>NOMINA!B21</f>
        <v>GUAQUIPA BECERRA NICOLAS ALEX</v>
      </c>
      <c r="C21" s="215">
        <v>83</v>
      </c>
      <c r="D21" s="24"/>
      <c r="E21" s="24"/>
      <c r="F21" s="177">
        <f t="shared" si="0"/>
        <v>28</v>
      </c>
      <c r="G21" s="25"/>
    </row>
    <row r="22" spans="1:7" ht="17.100000000000001" customHeight="1">
      <c r="A22" s="26">
        <f>NOMINA!A22</f>
        <v>17</v>
      </c>
      <c r="B22" s="188" t="str">
        <f>NOMINA!B22</f>
        <v>HUANQUIRI MAMANI JHOSMAR</v>
      </c>
      <c r="C22" s="215">
        <v>41</v>
      </c>
      <c r="D22" s="24"/>
      <c r="E22" s="24"/>
      <c r="F22" s="177">
        <f t="shared" si="0"/>
        <v>14</v>
      </c>
      <c r="G22" s="25"/>
    </row>
    <row r="23" spans="1:7" ht="17.100000000000001" customHeight="1">
      <c r="A23" s="26">
        <f>NOMINA!A23</f>
        <v>18</v>
      </c>
      <c r="B23" s="188" t="str">
        <f>NOMINA!B23</f>
        <v>JOVE ARNEZ ANDREA LUCIANA</v>
      </c>
      <c r="C23" s="215">
        <v>41</v>
      </c>
      <c r="D23" s="24"/>
      <c r="E23" s="24"/>
      <c r="F23" s="177">
        <f t="shared" si="0"/>
        <v>14</v>
      </c>
      <c r="G23" s="25"/>
    </row>
    <row r="24" spans="1:7" ht="17.100000000000001" customHeight="1">
      <c r="A24" s="26">
        <f>NOMINA!A24</f>
        <v>19</v>
      </c>
      <c r="B24" s="188" t="str">
        <f>NOMINA!B24</f>
        <v>LAFUENTE ORTUÑO VICTORIA VALENTINA</v>
      </c>
      <c r="C24" s="215">
        <v>52</v>
      </c>
      <c r="D24" s="24"/>
      <c r="E24" s="24"/>
      <c r="F24" s="177">
        <f t="shared" si="0"/>
        <v>17</v>
      </c>
      <c r="G24" s="25"/>
    </row>
    <row r="25" spans="1:7" ht="17.100000000000001" customHeight="1">
      <c r="A25" s="26">
        <f>NOMINA!A25</f>
        <v>20</v>
      </c>
      <c r="B25" s="188" t="str">
        <f>NOMINA!B25</f>
        <v>MAGNANI CANAVIRI JOSUE JHONATHAN</v>
      </c>
      <c r="C25" s="215">
        <v>52</v>
      </c>
      <c r="D25" s="24"/>
      <c r="E25" s="24"/>
      <c r="F25" s="177">
        <f t="shared" si="0"/>
        <v>17</v>
      </c>
      <c r="G25" s="25"/>
    </row>
    <row r="26" spans="1:7" ht="17.100000000000001" customHeight="1">
      <c r="A26" s="26">
        <f>NOMINA!A26</f>
        <v>21</v>
      </c>
      <c r="B26" s="188" t="str">
        <f>NOMINA!B26</f>
        <v>MERUVIA GUTIERREZ ASHLY SCARLETT</v>
      </c>
      <c r="C26" s="215">
        <v>92</v>
      </c>
      <c r="D26" s="24"/>
      <c r="E26" s="24"/>
      <c r="F26" s="177">
        <f t="shared" si="0"/>
        <v>31</v>
      </c>
      <c r="G26" s="25"/>
    </row>
    <row r="27" spans="1:7" ht="17.100000000000001" customHeight="1">
      <c r="A27" s="26">
        <f>NOMINA!A27</f>
        <v>22</v>
      </c>
      <c r="B27" s="188" t="str">
        <f>NOMINA!B27</f>
        <v>MONTAÑO QUILO BENJAMIN GONZALO</v>
      </c>
      <c r="C27" s="215">
        <v>48</v>
      </c>
      <c r="D27" s="24"/>
      <c r="E27" s="24"/>
      <c r="F27" s="177">
        <f t="shared" si="0"/>
        <v>16</v>
      </c>
      <c r="G27" s="25"/>
    </row>
    <row r="28" spans="1:7" ht="17.100000000000001" customHeight="1">
      <c r="A28" s="26">
        <f>NOMINA!A28</f>
        <v>23</v>
      </c>
      <c r="B28" s="188" t="str">
        <f>NOMINA!B28</f>
        <v>PANIAGUA VARGAS KEYLA</v>
      </c>
      <c r="C28" s="215">
        <v>68</v>
      </c>
      <c r="D28" s="24"/>
      <c r="E28" s="24"/>
      <c r="F28" s="177">
        <f t="shared" si="0"/>
        <v>23</v>
      </c>
      <c r="G28" s="25"/>
    </row>
    <row r="29" spans="1:7" ht="17.100000000000001" customHeight="1">
      <c r="A29" s="26">
        <f>NOMINA!A29</f>
        <v>24</v>
      </c>
      <c r="B29" s="188" t="str">
        <f>NOMINA!B29</f>
        <v>PATZI GUARACHI MARIA BELEN</v>
      </c>
      <c r="C29" s="215">
        <v>92</v>
      </c>
      <c r="D29" s="24"/>
      <c r="E29" s="24"/>
      <c r="F29" s="177">
        <f t="shared" si="0"/>
        <v>31</v>
      </c>
      <c r="G29" s="25"/>
    </row>
    <row r="30" spans="1:7" ht="17.100000000000001" customHeight="1">
      <c r="A30" s="26">
        <f>NOMINA!A30</f>
        <v>25</v>
      </c>
      <c r="B30" s="188" t="str">
        <f>NOMINA!B30</f>
        <v>QUENALLATA CESPEDES LUMAIDA YANISS</v>
      </c>
      <c r="C30" s="215">
        <v>46</v>
      </c>
      <c r="D30" s="24"/>
      <c r="E30" s="24"/>
      <c r="F30" s="177">
        <f t="shared" si="0"/>
        <v>15</v>
      </c>
      <c r="G30" s="25"/>
    </row>
    <row r="31" spans="1:7" ht="17.100000000000001" customHeight="1">
      <c r="A31" s="26">
        <f>NOMINA!A31</f>
        <v>26</v>
      </c>
      <c r="B31" s="188" t="str">
        <f>NOMINA!B31</f>
        <v>QUISPE ESCARZA CIELO</v>
      </c>
      <c r="C31" s="215">
        <v>51</v>
      </c>
      <c r="D31" s="24"/>
      <c r="E31" s="24"/>
      <c r="F31" s="177">
        <f t="shared" si="0"/>
        <v>17</v>
      </c>
      <c r="G31" s="25"/>
    </row>
    <row r="32" spans="1:7" ht="17.100000000000001" customHeight="1">
      <c r="A32" s="26">
        <f>NOMINA!A32</f>
        <v>27</v>
      </c>
      <c r="B32" s="188" t="str">
        <f>NOMINA!B32</f>
        <v>QUISPE MILAN ADRIAN ANTHONY</v>
      </c>
      <c r="C32" s="215">
        <v>53</v>
      </c>
      <c r="D32" s="24"/>
      <c r="E32" s="24"/>
      <c r="F32" s="177">
        <f t="shared" si="0"/>
        <v>18</v>
      </c>
      <c r="G32" s="25"/>
    </row>
    <row r="33" spans="1:7" ht="17.100000000000001" customHeight="1">
      <c r="A33" s="26">
        <f>NOMINA!A33</f>
        <v>28</v>
      </c>
      <c r="B33" s="188" t="str">
        <f>NOMINA!B33</f>
        <v>ROMAN TITO MATEO</v>
      </c>
      <c r="C33" s="215">
        <v>70</v>
      </c>
      <c r="D33" s="24"/>
      <c r="E33" s="24"/>
      <c r="F33" s="177">
        <f t="shared" si="0"/>
        <v>23</v>
      </c>
      <c r="G33" s="25"/>
    </row>
    <row r="34" spans="1:7" ht="17.100000000000001" customHeight="1">
      <c r="A34" s="26">
        <f>NOMINA!A34</f>
        <v>29</v>
      </c>
      <c r="B34" s="188" t="str">
        <f>NOMINA!B34</f>
        <v xml:space="preserve">SILES MAMANI JUSTIN ANGEL </v>
      </c>
      <c r="C34" s="215">
        <v>71</v>
      </c>
      <c r="D34" s="24"/>
      <c r="E34" s="24"/>
      <c r="F34" s="177">
        <f t="shared" si="0"/>
        <v>24</v>
      </c>
      <c r="G34" s="25"/>
    </row>
    <row r="35" spans="1:7" ht="17.100000000000001" customHeight="1">
      <c r="A35" s="26">
        <f>NOMINA!A35</f>
        <v>30</v>
      </c>
      <c r="B35" s="188" t="str">
        <f>NOMINA!B35</f>
        <v>TERAN COCA DIEGO NICOLAS</v>
      </c>
      <c r="C35" s="215">
        <v>67</v>
      </c>
      <c r="D35" s="24"/>
      <c r="E35" s="24"/>
      <c r="F35" s="177">
        <f t="shared" si="0"/>
        <v>22</v>
      </c>
      <c r="G35" s="25"/>
    </row>
    <row r="36" spans="1:7" ht="17.100000000000001" customHeight="1">
      <c r="A36" s="26">
        <f>NOMINA!A36</f>
        <v>31</v>
      </c>
      <c r="B36" s="188" t="str">
        <f>NOMINA!B36</f>
        <v>URIA LOPEZ SEBASTIAN ARIEL</v>
      </c>
      <c r="C36" s="215">
        <v>52</v>
      </c>
      <c r="D36" s="24"/>
      <c r="E36" s="24"/>
      <c r="F36" s="177">
        <f t="shared" si="0"/>
        <v>17</v>
      </c>
      <c r="G36" s="25"/>
    </row>
    <row r="37" spans="1:7" ht="17.100000000000001" customHeight="1">
      <c r="A37" s="26">
        <f>NOMINA!A37</f>
        <v>32</v>
      </c>
      <c r="B37" s="188" t="str">
        <f>NOMINA!B37</f>
        <v>VASQUEZ ESPINOZA JHONATAN YAYCOB</v>
      </c>
      <c r="C37" s="215">
        <v>52</v>
      </c>
      <c r="D37" s="24"/>
      <c r="E37" s="24"/>
      <c r="F37" s="177">
        <f t="shared" si="0"/>
        <v>17</v>
      </c>
      <c r="G37" s="25"/>
    </row>
    <row r="38" spans="1:7" ht="17.100000000000001" customHeight="1">
      <c r="A38" s="26">
        <f>NOMINA!A38</f>
        <v>33</v>
      </c>
      <c r="B38" s="188" t="str">
        <f>NOMINA!B38</f>
        <v>VEIZAGA LEDEZMA SEBASTIAN</v>
      </c>
      <c r="C38" s="215">
        <v>68</v>
      </c>
      <c r="D38" s="24"/>
      <c r="E38" s="24"/>
      <c r="F38" s="177">
        <f t="shared" si="0"/>
        <v>23</v>
      </c>
      <c r="G38" s="25"/>
    </row>
    <row r="39" spans="1:7" ht="17.100000000000001" customHeight="1">
      <c r="A39" s="26">
        <f>NOMINA!A39</f>
        <v>34</v>
      </c>
      <c r="B39" s="188" t="str">
        <f>NOMINA!B39</f>
        <v>VILLARROEL CUCHILLO HUGO SEBASTIAN</v>
      </c>
      <c r="C39" s="215">
        <v>55</v>
      </c>
      <c r="D39" s="24"/>
      <c r="E39" s="24"/>
      <c r="F39" s="177">
        <f t="shared" si="0"/>
        <v>18</v>
      </c>
      <c r="G39" s="25"/>
    </row>
    <row r="40" spans="1:7" ht="17.100000000000001" customHeight="1">
      <c r="A40" s="26">
        <f>NOMINA!A40</f>
        <v>35</v>
      </c>
      <c r="B40" s="188" t="str">
        <f>NOMINA!B40</f>
        <v>ZAMBRANA MENDEZ MIRCO ALEXANDER</v>
      </c>
      <c r="C40" s="215">
        <v>41</v>
      </c>
      <c r="D40" s="24"/>
      <c r="E40" s="24"/>
      <c r="F40" s="177">
        <f t="shared" si="0"/>
        <v>14</v>
      </c>
      <c r="G40" s="25"/>
    </row>
    <row r="41" spans="1:7" ht="17.100000000000001" customHeight="1">
      <c r="A41" s="26">
        <f>NOMINA!A41</f>
        <v>36</v>
      </c>
      <c r="B41" s="188">
        <f>NOMINA!B41</f>
        <v>0</v>
      </c>
      <c r="C41" s="215"/>
      <c r="D41" s="24"/>
      <c r="E41" s="24"/>
      <c r="F41" s="177" t="str">
        <f t="shared" si="0"/>
        <v xml:space="preserve"> </v>
      </c>
      <c r="G41" s="25"/>
    </row>
    <row r="42" spans="1:7" ht="17.100000000000001" customHeight="1">
      <c r="A42" s="26">
        <f>NOMINA!A42</f>
        <v>37</v>
      </c>
      <c r="B42" s="188">
        <f>NOMINA!B42</f>
        <v>0</v>
      </c>
      <c r="C42" s="215"/>
      <c r="D42" s="24"/>
      <c r="E42" s="24"/>
      <c r="F42" s="177" t="str">
        <f t="shared" si="0"/>
        <v xml:space="preserve"> </v>
      </c>
      <c r="G42" s="25"/>
    </row>
    <row r="43" spans="1:7" ht="17.100000000000001" customHeight="1">
      <c r="A43" s="26">
        <f>NOMINA!A43</f>
        <v>38</v>
      </c>
      <c r="B43" s="188">
        <f>NOMINA!B43</f>
        <v>0</v>
      </c>
      <c r="C43" s="215"/>
      <c r="D43" s="24"/>
      <c r="E43" s="24"/>
      <c r="F43" s="177" t="str">
        <f t="shared" si="0"/>
        <v xml:space="preserve"> </v>
      </c>
      <c r="G43" s="25"/>
    </row>
    <row r="44" spans="1:7" ht="17.100000000000001" customHeight="1">
      <c r="A44" s="26">
        <f>NOMINA!A44</f>
        <v>39</v>
      </c>
      <c r="B44" s="188">
        <f>NOMINA!B44</f>
        <v>0</v>
      </c>
      <c r="C44" s="215"/>
      <c r="D44" s="24"/>
      <c r="E44" s="24"/>
      <c r="F44" s="177" t="str">
        <f t="shared" ref="F44:F50" si="1">IF(ROUND((C44+D44+E44)/3,0)&gt;0,ROUND((C44+D44+E44)/3,0)," ")</f>
        <v xml:space="preserve"> </v>
      </c>
      <c r="G44" s="25"/>
    </row>
    <row r="45" spans="1:7" ht="17.100000000000001" customHeight="1">
      <c r="A45" s="26">
        <f>NOMINA!A45</f>
        <v>40</v>
      </c>
      <c r="B45" s="188">
        <f>NOMINA!B45</f>
        <v>0</v>
      </c>
      <c r="C45" s="215"/>
      <c r="D45" s="24"/>
      <c r="E45" s="24"/>
      <c r="F45" s="177" t="str">
        <f t="shared" si="1"/>
        <v xml:space="preserve"> </v>
      </c>
      <c r="G45" s="25"/>
    </row>
    <row r="46" spans="1:7">
      <c r="A46" s="26">
        <f>NOMINA!A46</f>
        <v>41</v>
      </c>
      <c r="B46" s="222">
        <f>NOMINA!B46</f>
        <v>0</v>
      </c>
      <c r="C46" s="215"/>
      <c r="D46" s="24"/>
      <c r="E46" s="24"/>
      <c r="F46" s="177" t="str">
        <f t="shared" si="1"/>
        <v xml:space="preserve"> </v>
      </c>
      <c r="G46" s="25"/>
    </row>
    <row r="47" spans="1:7">
      <c r="A47" s="26">
        <f>NOMINA!A47</f>
        <v>42</v>
      </c>
      <c r="B47" s="188">
        <f>NOMINA!B47</f>
        <v>0</v>
      </c>
      <c r="C47" s="215"/>
      <c r="D47" s="24"/>
      <c r="E47" s="24"/>
      <c r="F47" s="177" t="str">
        <f t="shared" si="1"/>
        <v xml:space="preserve"> </v>
      </c>
      <c r="G47" s="25"/>
    </row>
    <row r="48" spans="1:7">
      <c r="A48" s="26">
        <f>NOMINA!A48</f>
        <v>43</v>
      </c>
      <c r="B48" s="188">
        <f>NOMINA!B48</f>
        <v>0</v>
      </c>
      <c r="C48" s="215"/>
      <c r="D48" s="24"/>
      <c r="E48" s="24"/>
      <c r="F48" s="177" t="str">
        <f t="shared" si="1"/>
        <v xml:space="preserve"> </v>
      </c>
      <c r="G48" s="25"/>
    </row>
    <row r="49" spans="1:7">
      <c r="A49" s="26">
        <f>NOMINA!A49</f>
        <v>44</v>
      </c>
      <c r="B49" s="188">
        <f>NOMINA!B49</f>
        <v>0</v>
      </c>
      <c r="C49" s="215"/>
      <c r="D49" s="24"/>
      <c r="E49" s="24"/>
      <c r="F49" s="177" t="str">
        <f t="shared" si="1"/>
        <v xml:space="preserve"> </v>
      </c>
      <c r="G49" s="25"/>
    </row>
    <row r="50" spans="1:7">
      <c r="A50" s="26">
        <f>NOMINA!A50</f>
        <v>45</v>
      </c>
      <c r="B50" s="188">
        <f>NOMINA!B50</f>
        <v>0</v>
      </c>
      <c r="C50" s="215"/>
      <c r="D50" s="24"/>
      <c r="E50" s="24"/>
      <c r="F50" s="177" t="str">
        <f t="shared" si="1"/>
        <v xml:space="preserve"> </v>
      </c>
      <c r="G50" s="25"/>
    </row>
  </sheetData>
  <protectedRanges>
    <protectedRange sqref="D6:E50 G6:G50" name="Rango1"/>
  </protectedRanges>
  <customSheetViews>
    <customSheetView guid="{2AA0188C-879C-4D95-82F5-15F4B34AA912}">
      <selection activeCell="S14" sqref="S14"/>
      <pageMargins left="0.54" right="0.19685039370078741" top="0.43307086614173229" bottom="0.74803149606299213" header="0.31496062992125984" footer="0.31496062992125984"/>
      <pageSetup paperSize="9" orientation="portrait" horizontalDpi="4294967293" verticalDpi="0" r:id="rId1"/>
    </customSheetView>
  </customSheetViews>
  <mergeCells count="4">
    <mergeCell ref="A4:A5"/>
    <mergeCell ref="B4:B5"/>
    <mergeCell ref="F4:G4"/>
    <mergeCell ref="D2:E2"/>
  </mergeCells>
  <conditionalFormatting sqref="C6:F50">
    <cfRule type="cellIs" dxfId="41" priority="2" operator="lessThan">
      <formula>35</formula>
    </cfRule>
    <cfRule type="cellIs" dxfId="40" priority="3" operator="lessThan">
      <formula>51</formula>
    </cfRule>
  </conditionalFormatting>
  <dataValidations count="1">
    <dataValidation type="decimal" allowBlank="1" showInputMessage="1" showErrorMessage="1" sqref="C6:C50" xr:uid="{00000000-0002-0000-0200-000000000000}">
      <formula1>35</formula1>
      <formula2>100</formula2>
    </dataValidation>
  </dataValidations>
  <pageMargins left="0.54" right="0.19685039370078741" top="0.43307086614173229" bottom="0.74803149606299213" header="0.31496062992125984" footer="0.31496062992125984"/>
  <pageSetup paperSize="9" orientation="portrait" horizontalDpi="4294967293"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tabColor theme="5" tint="-0.249977111117893"/>
  </sheetPr>
  <dimension ref="A1:G50"/>
  <sheetViews>
    <sheetView workbookViewId="0">
      <selection activeCell="C6" sqref="C6:C40"/>
    </sheetView>
  </sheetViews>
  <sheetFormatPr defaultColWidth="11.42578125" defaultRowHeight="15"/>
  <cols>
    <col min="1" max="1" width="4.28515625" customWidth="1"/>
    <col min="2" max="2" width="45.140625" bestFit="1" customWidth="1"/>
    <col min="3" max="6" width="8.7109375" customWidth="1"/>
    <col min="7" max="7" width="15.5703125" customWidth="1"/>
  </cols>
  <sheetData>
    <row r="1" spans="1:7">
      <c r="A1" s="18"/>
      <c r="B1" s="18"/>
      <c r="C1" s="18"/>
      <c r="D1" s="18"/>
      <c r="E1" s="18"/>
      <c r="F1" s="18"/>
      <c r="G1" s="18"/>
    </row>
    <row r="2" spans="1:7" ht="18.75">
      <c r="A2" s="19"/>
      <c r="B2" s="20" t="str">
        <f>NOMINA!$B$2</f>
        <v>CURSO 2A</v>
      </c>
      <c r="C2" s="21" t="s">
        <v>6</v>
      </c>
      <c r="D2" s="268" t="s">
        <v>52</v>
      </c>
      <c r="E2" s="268"/>
      <c r="F2" s="268"/>
      <c r="G2" s="18"/>
    </row>
    <row r="3" spans="1:7" ht="15.75" thickBot="1">
      <c r="A3" s="18"/>
      <c r="B3" s="18"/>
      <c r="C3" s="18"/>
      <c r="D3" s="18"/>
      <c r="E3" s="18"/>
      <c r="F3" s="18"/>
      <c r="G3" s="18"/>
    </row>
    <row r="4" spans="1:7" ht="15.75" customHeight="1" thickBot="1">
      <c r="A4" s="264" t="s">
        <v>0</v>
      </c>
      <c r="B4" s="266" t="s">
        <v>1</v>
      </c>
      <c r="C4" s="173" t="s">
        <v>81</v>
      </c>
      <c r="D4" s="173" t="s">
        <v>82</v>
      </c>
      <c r="E4" s="173" t="s">
        <v>83</v>
      </c>
      <c r="F4" s="262" t="s">
        <v>32</v>
      </c>
      <c r="G4" s="263"/>
    </row>
    <row r="5" spans="1:7" ht="44.25" customHeight="1">
      <c r="A5" s="265"/>
      <c r="B5" s="267"/>
      <c r="C5" s="174" t="s">
        <v>33</v>
      </c>
      <c r="D5" s="174" t="s">
        <v>33</v>
      </c>
      <c r="E5" s="174" t="s">
        <v>33</v>
      </c>
      <c r="F5" s="175" t="s">
        <v>34</v>
      </c>
      <c r="G5" s="176" t="s">
        <v>80</v>
      </c>
    </row>
    <row r="6" spans="1:7">
      <c r="A6" s="26">
        <f>NOMINA!A6</f>
        <v>1</v>
      </c>
      <c r="B6" s="27" t="str">
        <f>NOMINA!B6</f>
        <v>ABREU MARRERO LIZ DANIELA</v>
      </c>
      <c r="C6" s="215">
        <v>73</v>
      </c>
      <c r="D6" s="24"/>
      <c r="E6" s="24"/>
      <c r="F6" s="177">
        <f t="shared" ref="F6:F45" si="0">IF(ROUND((C6+D6+E6)/3,0)&gt;0,ROUND((C6+D6+E6)/3,0)," ")</f>
        <v>24</v>
      </c>
      <c r="G6" s="25"/>
    </row>
    <row r="7" spans="1:7">
      <c r="A7" s="26">
        <f>NOMINA!A7</f>
        <v>2</v>
      </c>
      <c r="B7" s="27" t="str">
        <f>NOMINA!B7</f>
        <v>ALIAGA SAAVEDRA MARCU MAURICIO</v>
      </c>
      <c r="C7" s="215">
        <v>58</v>
      </c>
      <c r="D7" s="24"/>
      <c r="E7" s="24"/>
      <c r="F7" s="177">
        <f t="shared" si="0"/>
        <v>19</v>
      </c>
      <c r="G7" s="25"/>
    </row>
    <row r="8" spans="1:7">
      <c r="A8" s="26">
        <f>NOMINA!A8</f>
        <v>3</v>
      </c>
      <c r="B8" s="27" t="str">
        <f>NOMINA!B8</f>
        <v>ANTEZANA CACHI JOSE MAXWEL</v>
      </c>
      <c r="C8" s="215">
        <v>74</v>
      </c>
      <c r="D8" s="24"/>
      <c r="E8" s="24"/>
      <c r="F8" s="177">
        <f t="shared" si="0"/>
        <v>25</v>
      </c>
      <c r="G8" s="25"/>
    </row>
    <row r="9" spans="1:7">
      <c r="A9" s="26">
        <f>NOMINA!A9</f>
        <v>4</v>
      </c>
      <c r="B9" s="27" t="str">
        <f>NOMINA!B9</f>
        <v>ARIZACA SALGUERO SANTIAGO</v>
      </c>
      <c r="C9" s="215">
        <v>63</v>
      </c>
      <c r="D9" s="24"/>
      <c r="E9" s="24"/>
      <c r="F9" s="177">
        <f t="shared" si="0"/>
        <v>21</v>
      </c>
      <c r="G9" s="25"/>
    </row>
    <row r="10" spans="1:7">
      <c r="A10" s="26">
        <f>NOMINA!A10</f>
        <v>5</v>
      </c>
      <c r="B10" s="27" t="str">
        <f>NOMINA!B10</f>
        <v>BAUTISTA GARCIA ALISON LUCIANA</v>
      </c>
      <c r="C10" s="215">
        <v>51</v>
      </c>
      <c r="D10" s="24"/>
      <c r="E10" s="24"/>
      <c r="F10" s="177">
        <f t="shared" si="0"/>
        <v>17</v>
      </c>
      <c r="G10" s="25"/>
    </row>
    <row r="11" spans="1:7">
      <c r="A11" s="26">
        <f>NOMINA!A11</f>
        <v>6</v>
      </c>
      <c r="B11" s="27" t="str">
        <f>NOMINA!B11</f>
        <v>BOLIVAR REVOLLO NIVARDO ADOLFO</v>
      </c>
      <c r="C11" s="215">
        <v>43</v>
      </c>
      <c r="D11" s="24"/>
      <c r="E11" s="24"/>
      <c r="F11" s="177">
        <f t="shared" si="0"/>
        <v>14</v>
      </c>
      <c r="G11" s="25"/>
    </row>
    <row r="12" spans="1:7">
      <c r="A12" s="26">
        <f>NOMINA!A12</f>
        <v>7</v>
      </c>
      <c r="B12" s="27" t="str">
        <f>NOMINA!B12</f>
        <v>CADIMA SOLIZ NICOLAS</v>
      </c>
      <c r="C12" s="215">
        <v>40</v>
      </c>
      <c r="D12" s="24"/>
      <c r="E12" s="24"/>
      <c r="F12" s="177">
        <f t="shared" si="0"/>
        <v>13</v>
      </c>
      <c r="G12" s="25"/>
    </row>
    <row r="13" spans="1:7">
      <c r="A13" s="26">
        <f>NOMINA!A13</f>
        <v>8</v>
      </c>
      <c r="B13" s="27" t="str">
        <f>NOMINA!B13</f>
        <v>CALLE PEREZ ANDREA BELEN</v>
      </c>
      <c r="C13" s="215">
        <v>75</v>
      </c>
      <c r="D13" s="24"/>
      <c r="E13" s="24"/>
      <c r="F13" s="177">
        <f t="shared" si="0"/>
        <v>25</v>
      </c>
      <c r="G13" s="25"/>
    </row>
    <row r="14" spans="1:7">
      <c r="A14" s="26">
        <f>NOMINA!A14</f>
        <v>9</v>
      </c>
      <c r="B14" s="27" t="str">
        <f>NOMINA!B14</f>
        <v>CHAVEZ AMURRIO SEBASTIAN FABIAN</v>
      </c>
      <c r="C14" s="215">
        <v>56</v>
      </c>
      <c r="D14" s="24"/>
      <c r="E14" s="24"/>
      <c r="F14" s="177">
        <f t="shared" si="0"/>
        <v>19</v>
      </c>
      <c r="G14" s="25"/>
    </row>
    <row r="15" spans="1:7">
      <c r="A15" s="26">
        <f>NOMINA!A15</f>
        <v>10</v>
      </c>
      <c r="B15" s="27" t="str">
        <f>NOMINA!B15</f>
        <v>CHOQUE ARISPE YURIANA LUCIA</v>
      </c>
      <c r="C15" s="215">
        <v>44</v>
      </c>
      <c r="D15" s="24"/>
      <c r="E15" s="24"/>
      <c r="F15" s="177">
        <f t="shared" si="0"/>
        <v>15</v>
      </c>
      <c r="G15" s="25"/>
    </row>
    <row r="16" spans="1:7">
      <c r="A16" s="26">
        <f>NOMINA!A16</f>
        <v>11</v>
      </c>
      <c r="B16" s="27" t="str">
        <f>NOMINA!B16</f>
        <v>CHOQUE PERALTA JHOEL ELIAZAR</v>
      </c>
      <c r="C16" s="215">
        <v>82</v>
      </c>
      <c r="D16" s="24"/>
      <c r="E16" s="24"/>
      <c r="F16" s="177">
        <f t="shared" si="0"/>
        <v>27</v>
      </c>
      <c r="G16" s="25"/>
    </row>
    <row r="17" spans="1:7">
      <c r="A17" s="26">
        <f>NOMINA!A17</f>
        <v>12</v>
      </c>
      <c r="B17" s="27" t="str">
        <f>NOMINA!B17</f>
        <v>COPA RIVERO MARCIA MARCELA</v>
      </c>
      <c r="C17" s="215">
        <v>51</v>
      </c>
      <c r="D17" s="24"/>
      <c r="E17" s="24"/>
      <c r="F17" s="177">
        <f t="shared" si="0"/>
        <v>17</v>
      </c>
      <c r="G17" s="25"/>
    </row>
    <row r="18" spans="1:7">
      <c r="A18" s="26">
        <f>NOMINA!A18</f>
        <v>13</v>
      </c>
      <c r="B18" s="27" t="str">
        <f>NOMINA!B18</f>
        <v>CORIA URUÑO CHRISTOPER GABRIEL</v>
      </c>
      <c r="C18" s="215">
        <v>51</v>
      </c>
      <c r="D18" s="24"/>
      <c r="E18" s="24"/>
      <c r="F18" s="177">
        <f t="shared" si="0"/>
        <v>17</v>
      </c>
      <c r="G18" s="25"/>
    </row>
    <row r="19" spans="1:7">
      <c r="A19" s="26">
        <f>NOMINA!A19</f>
        <v>14</v>
      </c>
      <c r="B19" s="27" t="str">
        <f>NOMINA!B19</f>
        <v>FLORES BALLESTEROS LEANDRO FRANK</v>
      </c>
      <c r="C19" s="215">
        <v>54</v>
      </c>
      <c r="D19" s="24"/>
      <c r="E19" s="24"/>
      <c r="F19" s="177">
        <f t="shared" si="0"/>
        <v>18</v>
      </c>
      <c r="G19" s="25"/>
    </row>
    <row r="20" spans="1:7">
      <c r="A20" s="26">
        <f>NOMINA!A20</f>
        <v>15</v>
      </c>
      <c r="B20" s="27" t="str">
        <f>NOMINA!B20</f>
        <v>GONZALES MOLINA ARIANET BELEN</v>
      </c>
      <c r="C20" s="215">
        <v>74</v>
      </c>
      <c r="D20" s="24"/>
      <c r="E20" s="24"/>
      <c r="F20" s="177">
        <f t="shared" si="0"/>
        <v>25</v>
      </c>
      <c r="G20" s="25"/>
    </row>
    <row r="21" spans="1:7">
      <c r="A21" s="26">
        <f>NOMINA!A21</f>
        <v>16</v>
      </c>
      <c r="B21" s="27" t="str">
        <f>NOMINA!B21</f>
        <v>GUAQUIPA BECERRA NICOLAS ALEX</v>
      </c>
      <c r="C21" s="215">
        <v>66</v>
      </c>
      <c r="D21" s="24"/>
      <c r="E21" s="24"/>
      <c r="F21" s="177">
        <f t="shared" si="0"/>
        <v>22</v>
      </c>
      <c r="G21" s="25"/>
    </row>
    <row r="22" spans="1:7">
      <c r="A22" s="26">
        <f>NOMINA!A22</f>
        <v>17</v>
      </c>
      <c r="B22" s="27" t="str">
        <f>NOMINA!B22</f>
        <v>HUANQUIRI MAMANI JHOSMAR</v>
      </c>
      <c r="C22" s="215">
        <v>35</v>
      </c>
      <c r="D22" s="24"/>
      <c r="E22" s="24"/>
      <c r="F22" s="177">
        <f t="shared" si="0"/>
        <v>12</v>
      </c>
      <c r="G22" s="25"/>
    </row>
    <row r="23" spans="1:7">
      <c r="A23" s="26">
        <f>NOMINA!A23</f>
        <v>18</v>
      </c>
      <c r="B23" s="27" t="str">
        <f>NOMINA!B23</f>
        <v>JOVE ARNEZ ANDREA LUCIANA</v>
      </c>
      <c r="C23" s="215">
        <v>68</v>
      </c>
      <c r="D23" s="24"/>
      <c r="E23" s="24"/>
      <c r="F23" s="177">
        <f t="shared" si="0"/>
        <v>23</v>
      </c>
      <c r="G23" s="25"/>
    </row>
    <row r="24" spans="1:7">
      <c r="A24" s="26">
        <f>NOMINA!A24</f>
        <v>19</v>
      </c>
      <c r="B24" s="27" t="str">
        <f>NOMINA!B24</f>
        <v>LAFUENTE ORTUÑO VICTORIA VALENTINA</v>
      </c>
      <c r="C24" s="215">
        <v>35</v>
      </c>
      <c r="D24" s="24"/>
      <c r="E24" s="24"/>
      <c r="F24" s="177">
        <f t="shared" si="0"/>
        <v>12</v>
      </c>
      <c r="G24" s="25"/>
    </row>
    <row r="25" spans="1:7">
      <c r="A25" s="26">
        <f>NOMINA!A25</f>
        <v>20</v>
      </c>
      <c r="B25" s="27" t="str">
        <f>NOMINA!B25</f>
        <v>MAGNANI CANAVIRI JOSUE JHONATHAN</v>
      </c>
      <c r="C25" s="215">
        <v>40</v>
      </c>
      <c r="D25" s="24"/>
      <c r="E25" s="24"/>
      <c r="F25" s="177">
        <f t="shared" si="0"/>
        <v>13</v>
      </c>
      <c r="G25" s="25"/>
    </row>
    <row r="26" spans="1:7">
      <c r="A26" s="26">
        <f>NOMINA!A26</f>
        <v>21</v>
      </c>
      <c r="B26" s="27" t="str">
        <f>NOMINA!B26</f>
        <v>MERUVIA GUTIERREZ ASHLY SCARLETT</v>
      </c>
      <c r="C26" s="215">
        <v>92</v>
      </c>
      <c r="D26" s="24"/>
      <c r="E26" s="24"/>
      <c r="F26" s="177">
        <f t="shared" si="0"/>
        <v>31</v>
      </c>
      <c r="G26" s="25"/>
    </row>
    <row r="27" spans="1:7">
      <c r="A27" s="26">
        <f>NOMINA!A27</f>
        <v>22</v>
      </c>
      <c r="B27" s="27" t="str">
        <f>NOMINA!B27</f>
        <v>MONTAÑO QUILO BENJAMIN GONZALO</v>
      </c>
      <c r="C27" s="215">
        <v>40</v>
      </c>
      <c r="D27" s="24"/>
      <c r="E27" s="24"/>
      <c r="F27" s="177">
        <f t="shared" si="0"/>
        <v>13</v>
      </c>
      <c r="G27" s="25"/>
    </row>
    <row r="28" spans="1:7">
      <c r="A28" s="26">
        <f>NOMINA!A28</f>
        <v>23</v>
      </c>
      <c r="B28" s="27" t="str">
        <f>NOMINA!B28</f>
        <v>PANIAGUA VARGAS KEYLA</v>
      </c>
      <c r="C28" s="215">
        <v>66</v>
      </c>
      <c r="D28" s="24"/>
      <c r="E28" s="24"/>
      <c r="F28" s="177">
        <f t="shared" si="0"/>
        <v>22</v>
      </c>
      <c r="G28" s="25"/>
    </row>
    <row r="29" spans="1:7">
      <c r="A29" s="26">
        <f>NOMINA!A29</f>
        <v>24</v>
      </c>
      <c r="B29" s="27" t="str">
        <f>NOMINA!B29</f>
        <v>PATZI GUARACHI MARIA BELEN</v>
      </c>
      <c r="C29" s="215">
        <v>70</v>
      </c>
      <c r="D29" s="24"/>
      <c r="E29" s="24"/>
      <c r="F29" s="177">
        <f t="shared" si="0"/>
        <v>23</v>
      </c>
      <c r="G29" s="25"/>
    </row>
    <row r="30" spans="1:7">
      <c r="A30" s="26">
        <f>NOMINA!A30</f>
        <v>25</v>
      </c>
      <c r="B30" s="27" t="str">
        <f>NOMINA!B30</f>
        <v>QUENALLATA CESPEDES LUMAIDA YANISS</v>
      </c>
      <c r="C30" s="215">
        <v>40</v>
      </c>
      <c r="D30" s="24"/>
      <c r="E30" s="24"/>
      <c r="F30" s="177">
        <f t="shared" si="0"/>
        <v>13</v>
      </c>
      <c r="G30" s="25"/>
    </row>
    <row r="31" spans="1:7">
      <c r="A31" s="26">
        <f>NOMINA!A31</f>
        <v>26</v>
      </c>
      <c r="B31" s="27" t="str">
        <f>NOMINA!B31</f>
        <v>QUISPE ESCARZA CIELO</v>
      </c>
      <c r="C31" s="215">
        <v>40</v>
      </c>
      <c r="D31" s="24"/>
      <c r="E31" s="24"/>
      <c r="F31" s="177">
        <f t="shared" si="0"/>
        <v>13</v>
      </c>
      <c r="G31" s="25"/>
    </row>
    <row r="32" spans="1:7">
      <c r="A32" s="26">
        <f>NOMINA!A32</f>
        <v>27</v>
      </c>
      <c r="B32" s="27" t="str">
        <f>NOMINA!B32</f>
        <v>QUISPE MILAN ADRIAN ANTHONY</v>
      </c>
      <c r="C32" s="215">
        <v>46</v>
      </c>
      <c r="D32" s="24"/>
      <c r="E32" s="24"/>
      <c r="F32" s="177">
        <f t="shared" si="0"/>
        <v>15</v>
      </c>
      <c r="G32" s="25"/>
    </row>
    <row r="33" spans="1:7">
      <c r="A33" s="26">
        <f>NOMINA!A33</f>
        <v>28</v>
      </c>
      <c r="B33" s="27" t="str">
        <f>NOMINA!B33</f>
        <v>ROMAN TITO MATEO</v>
      </c>
      <c r="C33" s="215">
        <v>64</v>
      </c>
      <c r="D33" s="24"/>
      <c r="E33" s="24"/>
      <c r="F33" s="177">
        <f t="shared" si="0"/>
        <v>21</v>
      </c>
      <c r="G33" s="25"/>
    </row>
    <row r="34" spans="1:7">
      <c r="A34" s="26">
        <f>NOMINA!A34</f>
        <v>29</v>
      </c>
      <c r="B34" s="27" t="str">
        <f>NOMINA!B34</f>
        <v xml:space="preserve">SILES MAMANI JUSTIN ANGEL </v>
      </c>
      <c r="C34" s="215">
        <v>53</v>
      </c>
      <c r="D34" s="24"/>
      <c r="E34" s="24"/>
      <c r="F34" s="177">
        <f t="shared" si="0"/>
        <v>18</v>
      </c>
      <c r="G34" s="25"/>
    </row>
    <row r="35" spans="1:7">
      <c r="A35" s="26">
        <f>NOMINA!A35</f>
        <v>30</v>
      </c>
      <c r="B35" s="27" t="str">
        <f>NOMINA!B35</f>
        <v>TERAN COCA DIEGO NICOLAS</v>
      </c>
      <c r="C35" s="215">
        <v>51</v>
      </c>
      <c r="D35" s="24"/>
      <c r="E35" s="24"/>
      <c r="F35" s="177">
        <f t="shared" si="0"/>
        <v>17</v>
      </c>
      <c r="G35" s="25"/>
    </row>
    <row r="36" spans="1:7">
      <c r="A36" s="26">
        <f>NOMINA!A36</f>
        <v>31</v>
      </c>
      <c r="B36" s="27" t="str">
        <f>NOMINA!B36</f>
        <v>URIA LOPEZ SEBASTIAN ARIEL</v>
      </c>
      <c r="C36" s="215">
        <v>51</v>
      </c>
      <c r="D36" s="24"/>
      <c r="E36" s="24"/>
      <c r="F36" s="177">
        <f t="shared" si="0"/>
        <v>17</v>
      </c>
      <c r="G36" s="25"/>
    </row>
    <row r="37" spans="1:7">
      <c r="A37" s="26">
        <f>NOMINA!A37</f>
        <v>32</v>
      </c>
      <c r="B37" s="27" t="str">
        <f>NOMINA!B37</f>
        <v>VASQUEZ ESPINOZA JHONATAN YAYCOB</v>
      </c>
      <c r="C37" s="215">
        <v>61</v>
      </c>
      <c r="D37" s="24"/>
      <c r="E37" s="24"/>
      <c r="F37" s="177">
        <f t="shared" si="0"/>
        <v>20</v>
      </c>
      <c r="G37" s="25"/>
    </row>
    <row r="38" spans="1:7">
      <c r="A38" s="26">
        <f>NOMINA!A38</f>
        <v>33</v>
      </c>
      <c r="B38" s="27" t="str">
        <f>NOMINA!B38</f>
        <v>VEIZAGA LEDEZMA SEBASTIAN</v>
      </c>
      <c r="C38" s="215">
        <v>54</v>
      </c>
      <c r="D38" s="24"/>
      <c r="E38" s="24"/>
      <c r="F38" s="177">
        <f t="shared" si="0"/>
        <v>18</v>
      </c>
      <c r="G38" s="25"/>
    </row>
    <row r="39" spans="1:7">
      <c r="A39" s="26">
        <f>NOMINA!A39</f>
        <v>34</v>
      </c>
      <c r="B39" s="27" t="str">
        <f>NOMINA!B39</f>
        <v>VILLARROEL CUCHILLO HUGO SEBASTIAN</v>
      </c>
      <c r="C39" s="215">
        <v>55</v>
      </c>
      <c r="D39" s="24"/>
      <c r="E39" s="24"/>
      <c r="F39" s="177">
        <f t="shared" si="0"/>
        <v>18</v>
      </c>
      <c r="G39" s="25"/>
    </row>
    <row r="40" spans="1:7">
      <c r="A40" s="26">
        <f>NOMINA!A40</f>
        <v>35</v>
      </c>
      <c r="B40" s="27" t="str">
        <f>NOMINA!B40</f>
        <v>ZAMBRANA MENDEZ MIRCO ALEXANDER</v>
      </c>
      <c r="C40" s="215">
        <v>53</v>
      </c>
      <c r="D40" s="24"/>
      <c r="E40" s="24"/>
      <c r="F40" s="177">
        <f t="shared" si="0"/>
        <v>18</v>
      </c>
      <c r="G40" s="25"/>
    </row>
    <row r="41" spans="1:7">
      <c r="A41" s="26">
        <f>NOMINA!A41</f>
        <v>36</v>
      </c>
      <c r="B41" s="27">
        <f>NOMINA!B41</f>
        <v>0</v>
      </c>
      <c r="C41" s="215"/>
      <c r="D41" s="24"/>
      <c r="E41" s="24"/>
      <c r="F41" s="177" t="str">
        <f t="shared" si="0"/>
        <v xml:space="preserve"> </v>
      </c>
      <c r="G41" s="25"/>
    </row>
    <row r="42" spans="1:7">
      <c r="A42" s="26">
        <f>NOMINA!A42</f>
        <v>37</v>
      </c>
      <c r="B42" s="27">
        <f>NOMINA!B42</f>
        <v>0</v>
      </c>
      <c r="C42" s="215"/>
      <c r="D42" s="24"/>
      <c r="E42" s="24"/>
      <c r="F42" s="177" t="str">
        <f t="shared" si="0"/>
        <v xml:space="preserve"> </v>
      </c>
      <c r="G42" s="25"/>
    </row>
    <row r="43" spans="1:7">
      <c r="A43" s="26">
        <f>NOMINA!A43</f>
        <v>38</v>
      </c>
      <c r="B43" s="27">
        <f>NOMINA!B43</f>
        <v>0</v>
      </c>
      <c r="C43" s="215"/>
      <c r="D43" s="24"/>
      <c r="E43" s="24"/>
      <c r="F43" s="177" t="str">
        <f t="shared" si="0"/>
        <v xml:space="preserve"> </v>
      </c>
      <c r="G43" s="25"/>
    </row>
    <row r="44" spans="1:7">
      <c r="A44" s="26">
        <f>NOMINA!A44</f>
        <v>39</v>
      </c>
      <c r="B44" s="27">
        <f>NOMINA!B44</f>
        <v>0</v>
      </c>
      <c r="C44" s="215"/>
      <c r="D44" s="24"/>
      <c r="E44" s="24"/>
      <c r="F44" s="177" t="str">
        <f t="shared" si="0"/>
        <v xml:space="preserve"> </v>
      </c>
      <c r="G44" s="25"/>
    </row>
    <row r="45" spans="1:7">
      <c r="A45" s="26">
        <f>NOMINA!A45</f>
        <v>40</v>
      </c>
      <c r="B45" s="224">
        <f>NOMINA!B45</f>
        <v>0</v>
      </c>
      <c r="C45" s="218"/>
      <c r="D45" s="219"/>
      <c r="E45" s="219"/>
      <c r="F45" s="177" t="str">
        <f t="shared" si="0"/>
        <v xml:space="preserve"> </v>
      </c>
      <c r="G45" s="220"/>
    </row>
    <row r="46" spans="1:7">
      <c r="A46" s="26">
        <f>NOMINA!A46</f>
        <v>41</v>
      </c>
      <c r="B46" s="188">
        <f>NOMINA!B46</f>
        <v>0</v>
      </c>
      <c r="C46" s="218"/>
      <c r="D46" s="219"/>
      <c r="E46" s="219"/>
      <c r="F46" s="177" t="str">
        <f t="shared" ref="F46:F50" si="1">IF(ROUND((C46+D46+E46)/3,0)&gt;0,ROUND((C46+D46+E46)/3,0)," ")</f>
        <v xml:space="preserve"> </v>
      </c>
      <c r="G46" s="220"/>
    </row>
    <row r="47" spans="1:7">
      <c r="A47" s="26">
        <f>NOMINA!A47</f>
        <v>42</v>
      </c>
      <c r="B47" s="188">
        <f>NOMINA!B47</f>
        <v>0</v>
      </c>
      <c r="C47" s="218"/>
      <c r="D47" s="219"/>
      <c r="E47" s="219"/>
      <c r="F47" s="177" t="str">
        <f t="shared" si="1"/>
        <v xml:space="preserve"> </v>
      </c>
      <c r="G47" s="220"/>
    </row>
    <row r="48" spans="1:7">
      <c r="A48" s="26">
        <f>NOMINA!A48</f>
        <v>43</v>
      </c>
      <c r="B48" s="188">
        <f>NOMINA!B48</f>
        <v>0</v>
      </c>
      <c r="C48" s="218"/>
      <c r="D48" s="219"/>
      <c r="E48" s="219"/>
      <c r="F48" s="177" t="str">
        <f t="shared" si="1"/>
        <v xml:space="preserve"> </v>
      </c>
      <c r="G48" s="220"/>
    </row>
    <row r="49" spans="1:7">
      <c r="A49" s="26">
        <f>NOMINA!A49</f>
        <v>44</v>
      </c>
      <c r="B49" s="188">
        <f>NOMINA!B49</f>
        <v>0</v>
      </c>
      <c r="C49" s="218"/>
      <c r="D49" s="219"/>
      <c r="E49" s="219"/>
      <c r="F49" s="177" t="str">
        <f t="shared" si="1"/>
        <v xml:space="preserve"> </v>
      </c>
      <c r="G49" s="220"/>
    </row>
    <row r="50" spans="1:7">
      <c r="A50" s="26">
        <f>NOMINA!A50</f>
        <v>45</v>
      </c>
      <c r="B50" s="235">
        <f>NOMINA!B50</f>
        <v>0</v>
      </c>
      <c r="C50" s="225"/>
      <c r="D50" s="28"/>
      <c r="E50" s="28"/>
      <c r="F50" s="216" t="str">
        <f t="shared" si="1"/>
        <v xml:space="preserve"> </v>
      </c>
      <c r="G50" s="234"/>
    </row>
  </sheetData>
  <protectedRanges>
    <protectedRange sqref="G6:G50 D6:E50" name="Rango1"/>
  </protectedRanges>
  <customSheetViews>
    <customSheetView guid="{2AA0188C-879C-4D95-82F5-15F4B34AA912}">
      <selection activeCell="S20" sqref="S20"/>
      <pageMargins left="0.7" right="0.7" top="0.75" bottom="0.75" header="0.3" footer="0.3"/>
    </customSheetView>
  </customSheetViews>
  <mergeCells count="4">
    <mergeCell ref="D2:F2"/>
    <mergeCell ref="F4:G4"/>
    <mergeCell ref="A4:A5"/>
    <mergeCell ref="B4:B5"/>
  </mergeCells>
  <conditionalFormatting sqref="C6:F50">
    <cfRule type="cellIs" dxfId="39" priority="2" operator="lessThan">
      <formula>35</formula>
    </cfRule>
    <cfRule type="cellIs" dxfId="38" priority="3" operator="lessThan">
      <formula>51</formula>
    </cfRule>
  </conditionalFormatting>
  <dataValidations count="1">
    <dataValidation type="decimal" allowBlank="1" showInputMessage="1" showErrorMessage="1" sqref="C6:C50" xr:uid="{00000000-0002-0000-0300-000000000000}">
      <formula1>35</formula1>
      <formula2>100</formula2>
    </dataValidation>
  </dataValidations>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tabColor theme="5" tint="0.39997558519241921"/>
  </sheetPr>
  <dimension ref="A1:G50"/>
  <sheetViews>
    <sheetView workbookViewId="0">
      <selection activeCell="C6" sqref="C6:C40"/>
    </sheetView>
  </sheetViews>
  <sheetFormatPr defaultColWidth="11.42578125" defaultRowHeight="15"/>
  <cols>
    <col min="1" max="1" width="4.28515625" customWidth="1"/>
    <col min="2" max="2" width="45.140625" bestFit="1" customWidth="1"/>
    <col min="3" max="6" width="8.7109375" customWidth="1"/>
    <col min="7" max="7" width="15.5703125" customWidth="1"/>
  </cols>
  <sheetData>
    <row r="1" spans="1:7">
      <c r="A1" s="18"/>
      <c r="B1" s="18"/>
      <c r="C1" s="18"/>
      <c r="D1" s="18"/>
      <c r="E1" s="18"/>
      <c r="F1" s="18"/>
      <c r="G1" s="18"/>
    </row>
    <row r="2" spans="1:7" ht="18.75" customHeight="1">
      <c r="A2" s="19"/>
      <c r="B2" s="20" t="str">
        <f>NOMINA!$B$2</f>
        <v>CURSO 2A</v>
      </c>
      <c r="C2" s="21" t="s">
        <v>6</v>
      </c>
      <c r="D2" s="268" t="s">
        <v>43</v>
      </c>
      <c r="E2" s="268"/>
      <c r="F2" s="18"/>
      <c r="G2" s="18"/>
    </row>
    <row r="3" spans="1:7" ht="15.75" thickBot="1">
      <c r="A3" s="18"/>
      <c r="B3" s="18"/>
      <c r="C3" s="18"/>
      <c r="D3" s="18"/>
      <c r="E3" s="18"/>
      <c r="F3" s="18"/>
      <c r="G3" s="18"/>
    </row>
    <row r="4" spans="1:7" ht="15.75" customHeight="1" thickBot="1">
      <c r="A4" s="264" t="s">
        <v>0</v>
      </c>
      <c r="B4" s="266" t="s">
        <v>1</v>
      </c>
      <c r="C4" s="173" t="s">
        <v>81</v>
      </c>
      <c r="D4" s="173" t="s">
        <v>82</v>
      </c>
      <c r="E4" s="173" t="s">
        <v>83</v>
      </c>
      <c r="F4" s="262" t="s">
        <v>32</v>
      </c>
      <c r="G4" s="263"/>
    </row>
    <row r="5" spans="1:7" ht="44.25" customHeight="1">
      <c r="A5" s="265"/>
      <c r="B5" s="267"/>
      <c r="C5" s="174" t="s">
        <v>33</v>
      </c>
      <c r="D5" s="174" t="s">
        <v>33</v>
      </c>
      <c r="E5" s="174" t="s">
        <v>33</v>
      </c>
      <c r="F5" s="175" t="s">
        <v>34</v>
      </c>
      <c r="G5" s="176" t="s">
        <v>80</v>
      </c>
    </row>
    <row r="6" spans="1:7">
      <c r="A6" s="26">
        <f>NOMINA!A6</f>
        <v>1</v>
      </c>
      <c r="B6" s="27" t="str">
        <f>NOMINA!B6</f>
        <v>ABREU MARRERO LIZ DANIELA</v>
      </c>
      <c r="C6" s="24">
        <v>70</v>
      </c>
      <c r="D6" s="24"/>
      <c r="E6" s="24"/>
      <c r="F6" s="177">
        <f t="shared" ref="F6:F50" si="0">IF(ROUND((C6+D6+E6)/3,0)&gt;0,ROUND((C6+D6+E6)/3,0)," ")</f>
        <v>23</v>
      </c>
      <c r="G6" s="25"/>
    </row>
    <row r="7" spans="1:7">
      <c r="A7" s="26">
        <f>NOMINA!A7</f>
        <v>2</v>
      </c>
      <c r="B7" s="27" t="str">
        <f>NOMINA!B7</f>
        <v>ALIAGA SAAVEDRA MARCU MAURICIO</v>
      </c>
      <c r="C7" s="24">
        <v>54</v>
      </c>
      <c r="D7" s="24"/>
      <c r="E7" s="24"/>
      <c r="F7" s="177">
        <f t="shared" si="0"/>
        <v>18</v>
      </c>
      <c r="G7" s="25"/>
    </row>
    <row r="8" spans="1:7">
      <c r="A8" s="26">
        <f>NOMINA!A8</f>
        <v>3</v>
      </c>
      <c r="B8" s="27" t="str">
        <f>NOMINA!B8</f>
        <v>ANTEZANA CACHI JOSE MAXWEL</v>
      </c>
      <c r="C8" s="24">
        <v>63</v>
      </c>
      <c r="D8" s="24"/>
      <c r="E8" s="24"/>
      <c r="F8" s="177">
        <f t="shared" si="0"/>
        <v>21</v>
      </c>
      <c r="G8" s="25"/>
    </row>
    <row r="9" spans="1:7">
      <c r="A9" s="26">
        <f>NOMINA!A9</f>
        <v>4</v>
      </c>
      <c r="B9" s="27" t="str">
        <f>NOMINA!B9</f>
        <v>ARIZACA SALGUERO SANTIAGO</v>
      </c>
      <c r="C9" s="24">
        <v>76</v>
      </c>
      <c r="D9" s="24"/>
      <c r="E9" s="24"/>
      <c r="F9" s="177">
        <f t="shared" si="0"/>
        <v>25</v>
      </c>
      <c r="G9" s="25"/>
    </row>
    <row r="10" spans="1:7">
      <c r="A10" s="26">
        <f>NOMINA!A10</f>
        <v>5</v>
      </c>
      <c r="B10" s="27" t="str">
        <f>NOMINA!B10</f>
        <v>BAUTISTA GARCIA ALISON LUCIANA</v>
      </c>
      <c r="C10" s="24">
        <v>67</v>
      </c>
      <c r="D10" s="24"/>
      <c r="E10" s="24"/>
      <c r="F10" s="177">
        <f t="shared" si="0"/>
        <v>22</v>
      </c>
      <c r="G10" s="25"/>
    </row>
    <row r="11" spans="1:7">
      <c r="A11" s="26">
        <f>NOMINA!A11</f>
        <v>6</v>
      </c>
      <c r="B11" s="27" t="str">
        <f>NOMINA!B11</f>
        <v>BOLIVAR REVOLLO NIVARDO ADOLFO</v>
      </c>
      <c r="C11" s="24">
        <v>59</v>
      </c>
      <c r="D11" s="24"/>
      <c r="E11" s="24"/>
      <c r="F11" s="177">
        <f t="shared" si="0"/>
        <v>20</v>
      </c>
      <c r="G11" s="25"/>
    </row>
    <row r="12" spans="1:7">
      <c r="A12" s="26">
        <f>NOMINA!A12</f>
        <v>7</v>
      </c>
      <c r="B12" s="27" t="str">
        <f>NOMINA!B12</f>
        <v>CADIMA SOLIZ NICOLAS</v>
      </c>
      <c r="C12" s="24">
        <v>69</v>
      </c>
      <c r="D12" s="24"/>
      <c r="E12" s="24"/>
      <c r="F12" s="177">
        <f t="shared" si="0"/>
        <v>23</v>
      </c>
      <c r="G12" s="25"/>
    </row>
    <row r="13" spans="1:7">
      <c r="A13" s="26">
        <f>NOMINA!A13</f>
        <v>8</v>
      </c>
      <c r="B13" s="27" t="str">
        <f>NOMINA!B13</f>
        <v>CALLE PEREZ ANDREA BELEN</v>
      </c>
      <c r="C13" s="24">
        <v>67</v>
      </c>
      <c r="D13" s="24"/>
      <c r="E13" s="24"/>
      <c r="F13" s="177">
        <f t="shared" si="0"/>
        <v>22</v>
      </c>
      <c r="G13" s="25"/>
    </row>
    <row r="14" spans="1:7">
      <c r="A14" s="26">
        <f>NOMINA!A14</f>
        <v>9</v>
      </c>
      <c r="B14" s="27" t="str">
        <f>NOMINA!B14</f>
        <v>CHAVEZ AMURRIO SEBASTIAN FABIAN</v>
      </c>
      <c r="C14" s="24">
        <v>45</v>
      </c>
      <c r="D14" s="24"/>
      <c r="E14" s="24"/>
      <c r="F14" s="177">
        <f t="shared" si="0"/>
        <v>15</v>
      </c>
      <c r="G14" s="25"/>
    </row>
    <row r="15" spans="1:7">
      <c r="A15" s="26">
        <f>NOMINA!A15</f>
        <v>10</v>
      </c>
      <c r="B15" s="27" t="str">
        <f>NOMINA!B15</f>
        <v>CHOQUE ARISPE YURIANA LUCIA</v>
      </c>
      <c r="C15" s="24">
        <v>55</v>
      </c>
      <c r="D15" s="24"/>
      <c r="E15" s="24"/>
      <c r="F15" s="177">
        <f t="shared" si="0"/>
        <v>18</v>
      </c>
      <c r="G15" s="25"/>
    </row>
    <row r="16" spans="1:7">
      <c r="A16" s="26">
        <f>NOMINA!A16</f>
        <v>11</v>
      </c>
      <c r="B16" s="27" t="str">
        <f>NOMINA!B16</f>
        <v>CHOQUE PERALTA JHOEL ELIAZAR</v>
      </c>
      <c r="C16" s="24">
        <v>74</v>
      </c>
      <c r="D16" s="24"/>
      <c r="E16" s="24"/>
      <c r="F16" s="177">
        <f t="shared" si="0"/>
        <v>25</v>
      </c>
      <c r="G16" s="25"/>
    </row>
    <row r="17" spans="1:7">
      <c r="A17" s="26">
        <f>NOMINA!A17</f>
        <v>12</v>
      </c>
      <c r="B17" s="27" t="str">
        <f>NOMINA!B17</f>
        <v>COPA RIVERO MARCIA MARCELA</v>
      </c>
      <c r="C17" s="24">
        <v>80</v>
      </c>
      <c r="D17" s="24"/>
      <c r="E17" s="24"/>
      <c r="F17" s="177">
        <f t="shared" si="0"/>
        <v>27</v>
      </c>
      <c r="G17" s="25"/>
    </row>
    <row r="18" spans="1:7">
      <c r="A18" s="26">
        <f>NOMINA!A18</f>
        <v>13</v>
      </c>
      <c r="B18" s="27" t="str">
        <f>NOMINA!B18</f>
        <v>CORIA URUÑO CHRISTOPER GABRIEL</v>
      </c>
      <c r="C18" s="24">
        <v>78</v>
      </c>
      <c r="D18" s="24"/>
      <c r="E18" s="24"/>
      <c r="F18" s="177">
        <f t="shared" si="0"/>
        <v>26</v>
      </c>
      <c r="G18" s="25"/>
    </row>
    <row r="19" spans="1:7">
      <c r="A19" s="26">
        <f>NOMINA!A19</f>
        <v>14</v>
      </c>
      <c r="B19" s="27" t="str">
        <f>NOMINA!B19</f>
        <v>FLORES BALLESTEROS LEANDRO FRANK</v>
      </c>
      <c r="C19" s="24">
        <v>72</v>
      </c>
      <c r="D19" s="24"/>
      <c r="E19" s="24"/>
      <c r="F19" s="177">
        <f t="shared" si="0"/>
        <v>24</v>
      </c>
      <c r="G19" s="25"/>
    </row>
    <row r="20" spans="1:7">
      <c r="A20" s="26">
        <f>NOMINA!A20</f>
        <v>15</v>
      </c>
      <c r="B20" s="27" t="str">
        <f>NOMINA!B20</f>
        <v>GONZALES MOLINA ARIANET BELEN</v>
      </c>
      <c r="C20" s="24">
        <v>85</v>
      </c>
      <c r="D20" s="24"/>
      <c r="E20" s="24"/>
      <c r="F20" s="177">
        <f t="shared" si="0"/>
        <v>28</v>
      </c>
      <c r="G20" s="25"/>
    </row>
    <row r="21" spans="1:7">
      <c r="A21" s="26">
        <f>NOMINA!A21</f>
        <v>16</v>
      </c>
      <c r="B21" s="27" t="str">
        <f>NOMINA!B21</f>
        <v>GUAQUIPA BECERRA NICOLAS ALEX</v>
      </c>
      <c r="C21" s="24">
        <v>83</v>
      </c>
      <c r="D21" s="24"/>
      <c r="E21" s="24"/>
      <c r="F21" s="177">
        <f t="shared" si="0"/>
        <v>28</v>
      </c>
      <c r="G21" s="25"/>
    </row>
    <row r="22" spans="1:7">
      <c r="A22" s="26">
        <f>NOMINA!A22</f>
        <v>17</v>
      </c>
      <c r="B22" s="27" t="str">
        <f>NOMINA!B22</f>
        <v>HUANQUIRI MAMANI JHOSMAR</v>
      </c>
      <c r="C22" s="24">
        <v>70</v>
      </c>
      <c r="D22" s="24"/>
      <c r="E22" s="24"/>
      <c r="F22" s="177">
        <f t="shared" si="0"/>
        <v>23</v>
      </c>
      <c r="G22" s="25"/>
    </row>
    <row r="23" spans="1:7">
      <c r="A23" s="26">
        <f>NOMINA!A23</f>
        <v>18</v>
      </c>
      <c r="B23" s="27" t="str">
        <f>NOMINA!B23</f>
        <v>JOVE ARNEZ ANDREA LUCIANA</v>
      </c>
      <c r="C23" s="24">
        <v>38</v>
      </c>
      <c r="D23" s="24"/>
      <c r="E23" s="24"/>
      <c r="F23" s="177">
        <f t="shared" si="0"/>
        <v>13</v>
      </c>
      <c r="G23" s="25"/>
    </row>
    <row r="24" spans="1:7">
      <c r="A24" s="26">
        <f>NOMINA!A24</f>
        <v>19</v>
      </c>
      <c r="B24" s="27" t="str">
        <f>NOMINA!B24</f>
        <v>LAFUENTE ORTUÑO VICTORIA VALENTINA</v>
      </c>
      <c r="C24" s="24">
        <v>65</v>
      </c>
      <c r="D24" s="24"/>
      <c r="E24" s="24"/>
      <c r="F24" s="177">
        <f t="shared" si="0"/>
        <v>22</v>
      </c>
      <c r="G24" s="25"/>
    </row>
    <row r="25" spans="1:7">
      <c r="A25" s="26">
        <f>NOMINA!A25</f>
        <v>20</v>
      </c>
      <c r="B25" s="27" t="str">
        <f>NOMINA!B25</f>
        <v>MAGNANI CANAVIRI JOSUE JHONATHAN</v>
      </c>
      <c r="C25" s="24">
        <v>77</v>
      </c>
      <c r="D25" s="24"/>
      <c r="E25" s="24"/>
      <c r="F25" s="177">
        <f t="shared" si="0"/>
        <v>26</v>
      </c>
      <c r="G25" s="25"/>
    </row>
    <row r="26" spans="1:7">
      <c r="A26" s="26">
        <f>NOMINA!A26</f>
        <v>21</v>
      </c>
      <c r="B26" s="27" t="str">
        <f>NOMINA!B26</f>
        <v>MERUVIA GUTIERREZ ASHLY SCARLETT</v>
      </c>
      <c r="C26" s="24">
        <v>85</v>
      </c>
      <c r="D26" s="24"/>
      <c r="E26" s="24"/>
      <c r="F26" s="177">
        <f t="shared" si="0"/>
        <v>28</v>
      </c>
      <c r="G26" s="25"/>
    </row>
    <row r="27" spans="1:7">
      <c r="A27" s="26">
        <f>NOMINA!A27</f>
        <v>22</v>
      </c>
      <c r="B27" s="27" t="str">
        <f>NOMINA!B27</f>
        <v>MONTAÑO QUILO BENJAMIN GONZALO</v>
      </c>
      <c r="C27" s="24">
        <v>64</v>
      </c>
      <c r="D27" s="24"/>
      <c r="E27" s="24"/>
      <c r="F27" s="177">
        <f t="shared" si="0"/>
        <v>21</v>
      </c>
      <c r="G27" s="25"/>
    </row>
    <row r="28" spans="1:7">
      <c r="A28" s="26">
        <f>NOMINA!A28</f>
        <v>23</v>
      </c>
      <c r="B28" s="27" t="str">
        <f>NOMINA!B28</f>
        <v>PANIAGUA VARGAS KEYLA</v>
      </c>
      <c r="C28" s="24">
        <v>79</v>
      </c>
      <c r="D28" s="24"/>
      <c r="E28" s="24"/>
      <c r="F28" s="177">
        <f t="shared" si="0"/>
        <v>26</v>
      </c>
      <c r="G28" s="25"/>
    </row>
    <row r="29" spans="1:7">
      <c r="A29" s="26">
        <f>NOMINA!A29</f>
        <v>24</v>
      </c>
      <c r="B29" s="27" t="str">
        <f>NOMINA!B29</f>
        <v>PATZI GUARACHI MARIA BELEN</v>
      </c>
      <c r="C29" s="24">
        <v>63</v>
      </c>
      <c r="D29" s="24"/>
      <c r="E29" s="24"/>
      <c r="F29" s="177">
        <f t="shared" si="0"/>
        <v>21</v>
      </c>
      <c r="G29" s="25"/>
    </row>
    <row r="30" spans="1:7">
      <c r="A30" s="26">
        <f>NOMINA!A30</f>
        <v>25</v>
      </c>
      <c r="B30" s="27" t="str">
        <f>NOMINA!B30</f>
        <v>QUENALLATA CESPEDES LUMAIDA YANISS</v>
      </c>
      <c r="C30" s="24">
        <v>59</v>
      </c>
      <c r="D30" s="24"/>
      <c r="E30" s="24"/>
      <c r="F30" s="177">
        <f t="shared" si="0"/>
        <v>20</v>
      </c>
      <c r="G30" s="25"/>
    </row>
    <row r="31" spans="1:7">
      <c r="A31" s="26">
        <f>NOMINA!A31</f>
        <v>26</v>
      </c>
      <c r="B31" s="27" t="str">
        <f>NOMINA!B31</f>
        <v>QUISPE ESCARZA CIELO</v>
      </c>
      <c r="C31" s="24">
        <v>55</v>
      </c>
      <c r="D31" s="24"/>
      <c r="E31" s="24"/>
      <c r="F31" s="177">
        <f t="shared" si="0"/>
        <v>18</v>
      </c>
      <c r="G31" s="25"/>
    </row>
    <row r="32" spans="1:7">
      <c r="A32" s="26">
        <f>NOMINA!A32</f>
        <v>27</v>
      </c>
      <c r="B32" s="27" t="str">
        <f>NOMINA!B32</f>
        <v>QUISPE MILAN ADRIAN ANTHONY</v>
      </c>
      <c r="C32" s="24">
        <v>63</v>
      </c>
      <c r="D32" s="24"/>
      <c r="E32" s="24"/>
      <c r="F32" s="177">
        <f t="shared" si="0"/>
        <v>21</v>
      </c>
      <c r="G32" s="25"/>
    </row>
    <row r="33" spans="1:7">
      <c r="A33" s="26">
        <f>NOMINA!A33</f>
        <v>28</v>
      </c>
      <c r="B33" s="27" t="str">
        <f>NOMINA!B33</f>
        <v>ROMAN TITO MATEO</v>
      </c>
      <c r="C33" s="24">
        <v>79</v>
      </c>
      <c r="D33" s="24"/>
      <c r="E33" s="24"/>
      <c r="F33" s="177">
        <f t="shared" si="0"/>
        <v>26</v>
      </c>
      <c r="G33" s="25"/>
    </row>
    <row r="34" spans="1:7">
      <c r="A34" s="26">
        <f>NOMINA!A34</f>
        <v>29</v>
      </c>
      <c r="B34" s="27" t="str">
        <f>NOMINA!B34</f>
        <v xml:space="preserve">SILES MAMANI JUSTIN ANGEL </v>
      </c>
      <c r="C34" s="24">
        <v>67</v>
      </c>
      <c r="D34" s="24"/>
      <c r="E34" s="24"/>
      <c r="F34" s="177">
        <f t="shared" si="0"/>
        <v>22</v>
      </c>
      <c r="G34" s="25"/>
    </row>
    <row r="35" spans="1:7">
      <c r="A35" s="26">
        <f>NOMINA!A35</f>
        <v>30</v>
      </c>
      <c r="B35" s="27" t="str">
        <f>NOMINA!B35</f>
        <v>TERAN COCA DIEGO NICOLAS</v>
      </c>
      <c r="C35" s="24">
        <v>67</v>
      </c>
      <c r="D35" s="24"/>
      <c r="E35" s="24"/>
      <c r="F35" s="177">
        <f t="shared" si="0"/>
        <v>22</v>
      </c>
      <c r="G35" s="25"/>
    </row>
    <row r="36" spans="1:7">
      <c r="A36" s="26">
        <f>NOMINA!A36</f>
        <v>31</v>
      </c>
      <c r="B36" s="27" t="str">
        <f>NOMINA!B36</f>
        <v>URIA LOPEZ SEBASTIAN ARIEL</v>
      </c>
      <c r="C36" s="24">
        <v>80</v>
      </c>
      <c r="D36" s="24"/>
      <c r="E36" s="24"/>
      <c r="F36" s="177">
        <f t="shared" si="0"/>
        <v>27</v>
      </c>
      <c r="G36" s="25"/>
    </row>
    <row r="37" spans="1:7">
      <c r="A37" s="26">
        <f>NOMINA!A37</f>
        <v>32</v>
      </c>
      <c r="B37" s="27" t="str">
        <f>NOMINA!B37</f>
        <v>VASQUEZ ESPINOZA JHONATAN YAYCOB</v>
      </c>
      <c r="C37" s="24">
        <v>70</v>
      </c>
      <c r="D37" s="24"/>
      <c r="E37" s="24"/>
      <c r="F37" s="177">
        <f t="shared" si="0"/>
        <v>23</v>
      </c>
      <c r="G37" s="25"/>
    </row>
    <row r="38" spans="1:7">
      <c r="A38" s="26">
        <f>NOMINA!A38</f>
        <v>33</v>
      </c>
      <c r="B38" s="27" t="str">
        <f>NOMINA!B38</f>
        <v>VEIZAGA LEDEZMA SEBASTIAN</v>
      </c>
      <c r="C38" s="24">
        <v>69</v>
      </c>
      <c r="D38" s="24"/>
      <c r="E38" s="24"/>
      <c r="F38" s="177">
        <f t="shared" si="0"/>
        <v>23</v>
      </c>
      <c r="G38" s="25"/>
    </row>
    <row r="39" spans="1:7">
      <c r="A39" s="26">
        <f>NOMINA!A39</f>
        <v>34</v>
      </c>
      <c r="B39" s="27" t="str">
        <f>NOMINA!B39</f>
        <v>VILLARROEL CUCHILLO HUGO SEBASTIAN</v>
      </c>
      <c r="C39" s="24">
        <v>66</v>
      </c>
      <c r="D39" s="24"/>
      <c r="E39" s="24"/>
      <c r="F39" s="177">
        <f t="shared" si="0"/>
        <v>22</v>
      </c>
      <c r="G39" s="25"/>
    </row>
    <row r="40" spans="1:7">
      <c r="A40" s="26">
        <f>NOMINA!A40</f>
        <v>35</v>
      </c>
      <c r="B40" s="27" t="str">
        <f>NOMINA!B40</f>
        <v>ZAMBRANA MENDEZ MIRCO ALEXANDER</v>
      </c>
      <c r="C40" s="24">
        <v>51</v>
      </c>
      <c r="D40" s="24"/>
      <c r="E40" s="24"/>
      <c r="F40" s="177">
        <f t="shared" si="0"/>
        <v>17</v>
      </c>
      <c r="G40" s="25"/>
    </row>
    <row r="41" spans="1:7">
      <c r="A41" s="26">
        <f>NOMINA!A41</f>
        <v>36</v>
      </c>
      <c r="B41" s="27">
        <f>NOMINA!B41</f>
        <v>0</v>
      </c>
      <c r="C41" s="24"/>
      <c r="D41" s="24"/>
      <c r="E41" s="24"/>
      <c r="F41" s="177" t="str">
        <f t="shared" si="0"/>
        <v xml:space="preserve"> </v>
      </c>
      <c r="G41" s="25"/>
    </row>
    <row r="42" spans="1:7">
      <c r="A42" s="26">
        <f>NOMINA!A42</f>
        <v>37</v>
      </c>
      <c r="B42" s="27">
        <f>NOMINA!B42</f>
        <v>0</v>
      </c>
      <c r="C42" s="24"/>
      <c r="D42" s="24"/>
      <c r="E42" s="24"/>
      <c r="F42" s="177" t="str">
        <f t="shared" si="0"/>
        <v xml:space="preserve"> </v>
      </c>
      <c r="G42" s="25"/>
    </row>
    <row r="43" spans="1:7">
      <c r="A43" s="26">
        <f>NOMINA!A43</f>
        <v>38</v>
      </c>
      <c r="B43" s="27">
        <f>NOMINA!B43</f>
        <v>0</v>
      </c>
      <c r="C43" s="24"/>
      <c r="D43" s="24"/>
      <c r="E43" s="24"/>
      <c r="F43" s="177" t="str">
        <f t="shared" si="0"/>
        <v xml:space="preserve"> </v>
      </c>
      <c r="G43" s="25"/>
    </row>
    <row r="44" spans="1:7">
      <c r="A44" s="26">
        <f>NOMINA!A44</f>
        <v>39</v>
      </c>
      <c r="B44" s="27">
        <f>NOMINA!B44</f>
        <v>0</v>
      </c>
      <c r="C44" s="24"/>
      <c r="D44" s="24"/>
      <c r="E44" s="24"/>
      <c r="F44" s="177" t="str">
        <f t="shared" si="0"/>
        <v xml:space="preserve"> </v>
      </c>
      <c r="G44" s="25"/>
    </row>
    <row r="45" spans="1:7">
      <c r="A45" s="26">
        <f>NOMINA!A45</f>
        <v>40</v>
      </c>
      <c r="B45" s="224">
        <f>NOMINA!B45</f>
        <v>0</v>
      </c>
      <c r="C45" s="219"/>
      <c r="D45" s="219"/>
      <c r="E45" s="219"/>
      <c r="F45" s="223" t="str">
        <f t="shared" si="0"/>
        <v xml:space="preserve"> </v>
      </c>
      <c r="G45" s="220"/>
    </row>
    <row r="46" spans="1:7">
      <c r="A46" s="26">
        <f>NOMINA!A46</f>
        <v>41</v>
      </c>
      <c r="B46" s="188">
        <f>NOMINA!B46</f>
        <v>0</v>
      </c>
      <c r="C46" s="221"/>
      <c r="D46" s="221"/>
      <c r="E46" s="221"/>
      <c r="F46" s="216" t="str">
        <f t="shared" si="0"/>
        <v xml:space="preserve"> </v>
      </c>
      <c r="G46" s="221"/>
    </row>
    <row r="47" spans="1:7">
      <c r="A47" s="26">
        <f>NOMINA!A47</f>
        <v>42</v>
      </c>
      <c r="B47" s="188">
        <f>NOMINA!B47</f>
        <v>0</v>
      </c>
      <c r="C47" s="221"/>
      <c r="D47" s="221"/>
      <c r="E47" s="221"/>
      <c r="F47" s="216" t="str">
        <f t="shared" si="0"/>
        <v xml:space="preserve"> </v>
      </c>
      <c r="G47" s="221"/>
    </row>
    <row r="48" spans="1:7">
      <c r="A48" s="26">
        <f>NOMINA!A48</f>
        <v>43</v>
      </c>
      <c r="B48" s="188">
        <f>NOMINA!B48</f>
        <v>0</v>
      </c>
      <c r="C48" s="221"/>
      <c r="D48" s="221"/>
      <c r="E48" s="221"/>
      <c r="F48" s="216" t="str">
        <f t="shared" si="0"/>
        <v xml:space="preserve"> </v>
      </c>
      <c r="G48" s="221"/>
    </row>
    <row r="49" spans="1:7">
      <c r="A49" s="26">
        <f>NOMINA!A49</f>
        <v>44</v>
      </c>
      <c r="B49" s="188">
        <f>NOMINA!B49</f>
        <v>0</v>
      </c>
      <c r="C49" s="221"/>
      <c r="D49" s="221"/>
      <c r="E49" s="221"/>
      <c r="F49" s="216" t="str">
        <f t="shared" si="0"/>
        <v xml:space="preserve"> </v>
      </c>
      <c r="G49" s="221"/>
    </row>
    <row r="50" spans="1:7">
      <c r="A50" s="26">
        <f>NOMINA!A50</f>
        <v>45</v>
      </c>
      <c r="B50" s="188">
        <f>NOMINA!B50</f>
        <v>0</v>
      </c>
      <c r="C50" s="221"/>
      <c r="D50" s="221"/>
      <c r="E50" s="221"/>
      <c r="F50" s="216" t="str">
        <f t="shared" si="0"/>
        <v xml:space="preserve"> </v>
      </c>
      <c r="G50" s="221"/>
    </row>
  </sheetData>
  <protectedRanges>
    <protectedRange sqref="G6:G45 C6:E45" name="Rango1"/>
  </protectedRanges>
  <customSheetViews>
    <customSheetView guid="{2AA0188C-879C-4D95-82F5-15F4B34AA912}">
      <selection activeCell="R14" sqref="R14"/>
      <pageMargins left="0.7" right="0.7" top="0.75" bottom="0.75" header="0.3" footer="0.3"/>
    </customSheetView>
  </customSheetViews>
  <mergeCells count="4">
    <mergeCell ref="F4:G4"/>
    <mergeCell ref="A4:A5"/>
    <mergeCell ref="B4:B5"/>
    <mergeCell ref="D2:E2"/>
  </mergeCells>
  <conditionalFormatting sqref="C6:F50">
    <cfRule type="cellIs" dxfId="37" priority="1" operator="lessThan">
      <formula>35</formula>
    </cfRule>
    <cfRule type="cellIs" dxfId="36" priority="2" operator="lessThan">
      <formula>51</formula>
    </cfRule>
  </conditionalFormatting>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tabColor rgb="FFFFFF00"/>
  </sheetPr>
  <dimension ref="A1:G50"/>
  <sheetViews>
    <sheetView workbookViewId="0">
      <selection activeCell="C6" sqref="C6:C40"/>
    </sheetView>
  </sheetViews>
  <sheetFormatPr defaultColWidth="11.42578125" defaultRowHeight="15"/>
  <cols>
    <col min="1" max="1" width="4.28515625" customWidth="1"/>
    <col min="2" max="2" width="45.140625" bestFit="1" customWidth="1"/>
    <col min="3" max="6" width="8.7109375" customWidth="1"/>
    <col min="7" max="7" width="15.5703125" customWidth="1"/>
  </cols>
  <sheetData>
    <row r="1" spans="1:7">
      <c r="A1" s="18"/>
      <c r="B1" s="18"/>
      <c r="C1" s="18"/>
      <c r="D1" s="18"/>
      <c r="E1" s="18"/>
      <c r="F1" s="18"/>
      <c r="G1" s="18"/>
    </row>
    <row r="2" spans="1:7" ht="18.75">
      <c r="A2" s="19"/>
      <c r="B2" s="20" t="str">
        <f>NOMINA!$B$2</f>
        <v>CURSO 2A</v>
      </c>
      <c r="C2" s="21" t="s">
        <v>6</v>
      </c>
      <c r="D2" s="268" t="s">
        <v>97</v>
      </c>
      <c r="E2" s="269"/>
      <c r="F2" s="18"/>
      <c r="G2" s="18"/>
    </row>
    <row r="3" spans="1:7" ht="15.75" thickBot="1">
      <c r="A3" s="18"/>
      <c r="B3" s="18"/>
      <c r="C3" s="18"/>
      <c r="D3" s="18"/>
      <c r="E3" s="18"/>
      <c r="F3" s="18"/>
      <c r="G3" s="18"/>
    </row>
    <row r="4" spans="1:7" ht="15.75" customHeight="1" thickBot="1">
      <c r="A4" s="264" t="s">
        <v>0</v>
      </c>
      <c r="B4" s="266" t="s">
        <v>1</v>
      </c>
      <c r="C4" s="173" t="s">
        <v>81</v>
      </c>
      <c r="D4" s="173" t="s">
        <v>82</v>
      </c>
      <c r="E4" s="173" t="s">
        <v>83</v>
      </c>
      <c r="F4" s="262" t="s">
        <v>32</v>
      </c>
      <c r="G4" s="263"/>
    </row>
    <row r="5" spans="1:7" ht="44.25" customHeight="1">
      <c r="A5" s="265"/>
      <c r="B5" s="267"/>
      <c r="C5" s="174" t="s">
        <v>33</v>
      </c>
      <c r="D5" s="174" t="s">
        <v>33</v>
      </c>
      <c r="E5" s="174" t="s">
        <v>33</v>
      </c>
      <c r="F5" s="175" t="s">
        <v>34</v>
      </c>
      <c r="G5" s="176" t="s">
        <v>80</v>
      </c>
    </row>
    <row r="6" spans="1:7">
      <c r="A6" s="26">
        <f>NOMINA!A6</f>
        <v>1</v>
      </c>
      <c r="B6" s="27" t="str">
        <f>NOMINA!B6</f>
        <v>ABREU MARRERO LIZ DANIELA</v>
      </c>
      <c r="C6" s="215">
        <v>94</v>
      </c>
      <c r="D6" s="24"/>
      <c r="E6" s="24"/>
      <c r="F6" s="177">
        <f t="shared" ref="F6:F50" si="0">IF(ROUND((C6+D6+E6)/3,0)&gt;0,ROUND((C6+D6+E6)/3,0)," ")</f>
        <v>31</v>
      </c>
      <c r="G6" s="25"/>
    </row>
    <row r="7" spans="1:7">
      <c r="A7" s="26">
        <f>NOMINA!A7</f>
        <v>2</v>
      </c>
      <c r="B7" s="27" t="str">
        <f>NOMINA!B7</f>
        <v>ALIAGA SAAVEDRA MARCU MAURICIO</v>
      </c>
      <c r="C7" s="215">
        <v>87</v>
      </c>
      <c r="D7" s="24"/>
      <c r="E7" s="24"/>
      <c r="F7" s="177">
        <f t="shared" si="0"/>
        <v>29</v>
      </c>
      <c r="G7" s="25"/>
    </row>
    <row r="8" spans="1:7">
      <c r="A8" s="26">
        <f>NOMINA!A8</f>
        <v>3</v>
      </c>
      <c r="B8" s="27" t="str">
        <f>NOMINA!B8</f>
        <v>ANTEZANA CACHI JOSE MAXWEL</v>
      </c>
      <c r="C8" s="215">
        <v>96</v>
      </c>
      <c r="D8" s="24"/>
      <c r="E8" s="24"/>
      <c r="F8" s="177">
        <f t="shared" si="0"/>
        <v>32</v>
      </c>
      <c r="G8" s="25"/>
    </row>
    <row r="9" spans="1:7">
      <c r="A9" s="26">
        <f>NOMINA!A9</f>
        <v>4</v>
      </c>
      <c r="B9" s="27" t="str">
        <f>NOMINA!B9</f>
        <v>ARIZACA SALGUERO SANTIAGO</v>
      </c>
      <c r="C9" s="215">
        <v>70</v>
      </c>
      <c r="D9" s="24"/>
      <c r="E9" s="24"/>
      <c r="F9" s="177">
        <f t="shared" si="0"/>
        <v>23</v>
      </c>
      <c r="G9" s="25"/>
    </row>
    <row r="10" spans="1:7">
      <c r="A10" s="26">
        <f>NOMINA!A10</f>
        <v>5</v>
      </c>
      <c r="B10" s="27" t="str">
        <f>NOMINA!B10</f>
        <v>BAUTISTA GARCIA ALISON LUCIANA</v>
      </c>
      <c r="C10" s="215">
        <v>76</v>
      </c>
      <c r="D10" s="24"/>
      <c r="E10" s="24"/>
      <c r="F10" s="177">
        <f t="shared" si="0"/>
        <v>25</v>
      </c>
      <c r="G10" s="25"/>
    </row>
    <row r="11" spans="1:7">
      <c r="A11" s="26">
        <f>NOMINA!A11</f>
        <v>6</v>
      </c>
      <c r="B11" s="27" t="str">
        <f>NOMINA!B11</f>
        <v>BOLIVAR REVOLLO NIVARDO ADOLFO</v>
      </c>
      <c r="C11" s="215">
        <v>72</v>
      </c>
      <c r="D11" s="24"/>
      <c r="E11" s="24"/>
      <c r="F11" s="177">
        <f t="shared" si="0"/>
        <v>24</v>
      </c>
      <c r="G11" s="25"/>
    </row>
    <row r="12" spans="1:7">
      <c r="A12" s="26">
        <f>NOMINA!A12</f>
        <v>7</v>
      </c>
      <c r="B12" s="27" t="str">
        <f>NOMINA!B12</f>
        <v>CADIMA SOLIZ NICOLAS</v>
      </c>
      <c r="C12" s="215">
        <v>66</v>
      </c>
      <c r="D12" s="24"/>
      <c r="E12" s="24"/>
      <c r="F12" s="177">
        <f t="shared" si="0"/>
        <v>22</v>
      </c>
      <c r="G12" s="25"/>
    </row>
    <row r="13" spans="1:7">
      <c r="A13" s="26">
        <f>NOMINA!A13</f>
        <v>8</v>
      </c>
      <c r="B13" s="27" t="str">
        <f>NOMINA!B13</f>
        <v>CALLE PEREZ ANDREA BELEN</v>
      </c>
      <c r="C13" s="215">
        <v>97</v>
      </c>
      <c r="D13" s="24"/>
      <c r="E13" s="24"/>
      <c r="F13" s="177">
        <f t="shared" si="0"/>
        <v>32</v>
      </c>
      <c r="G13" s="25"/>
    </row>
    <row r="14" spans="1:7">
      <c r="A14" s="26">
        <f>NOMINA!A14</f>
        <v>9</v>
      </c>
      <c r="B14" s="27" t="str">
        <f>NOMINA!B14</f>
        <v>CHAVEZ AMURRIO SEBASTIAN FABIAN</v>
      </c>
      <c r="C14" s="215">
        <v>54</v>
      </c>
      <c r="D14" s="24"/>
      <c r="E14" s="24"/>
      <c r="F14" s="177">
        <f t="shared" si="0"/>
        <v>18</v>
      </c>
      <c r="G14" s="25"/>
    </row>
    <row r="15" spans="1:7">
      <c r="A15" s="26">
        <f>NOMINA!A15</f>
        <v>10</v>
      </c>
      <c r="B15" s="27" t="str">
        <f>NOMINA!B15</f>
        <v>CHOQUE ARISPE YURIANA LUCIA</v>
      </c>
      <c r="C15" s="215">
        <v>58</v>
      </c>
      <c r="D15" s="24"/>
      <c r="E15" s="24"/>
      <c r="F15" s="177">
        <f t="shared" si="0"/>
        <v>19</v>
      </c>
      <c r="G15" s="25"/>
    </row>
    <row r="16" spans="1:7">
      <c r="A16" s="26">
        <f>NOMINA!A16</f>
        <v>11</v>
      </c>
      <c r="B16" s="27" t="str">
        <f>NOMINA!B16</f>
        <v>CHOQUE PERALTA JHOEL ELIAZAR</v>
      </c>
      <c r="C16" s="215">
        <v>94</v>
      </c>
      <c r="D16" s="24"/>
      <c r="E16" s="24"/>
      <c r="F16" s="177">
        <f t="shared" si="0"/>
        <v>31</v>
      </c>
      <c r="G16" s="25"/>
    </row>
    <row r="17" spans="1:7">
      <c r="A17" s="26">
        <f>NOMINA!A17</f>
        <v>12</v>
      </c>
      <c r="B17" s="27" t="str">
        <f>NOMINA!B17</f>
        <v>COPA RIVERO MARCIA MARCELA</v>
      </c>
      <c r="C17" s="215">
        <v>70</v>
      </c>
      <c r="D17" s="24"/>
      <c r="E17" s="24"/>
      <c r="F17" s="177">
        <f t="shared" si="0"/>
        <v>23</v>
      </c>
      <c r="G17" s="25"/>
    </row>
    <row r="18" spans="1:7">
      <c r="A18" s="26">
        <f>NOMINA!A18</f>
        <v>13</v>
      </c>
      <c r="B18" s="27" t="str">
        <f>NOMINA!B18</f>
        <v>CORIA URUÑO CHRISTOPER GABRIEL</v>
      </c>
      <c r="C18" s="215">
        <v>93</v>
      </c>
      <c r="D18" s="24"/>
      <c r="E18" s="24"/>
      <c r="F18" s="177">
        <f t="shared" si="0"/>
        <v>31</v>
      </c>
      <c r="G18" s="25"/>
    </row>
    <row r="19" spans="1:7">
      <c r="A19" s="26">
        <f>NOMINA!A19</f>
        <v>14</v>
      </c>
      <c r="B19" s="27" t="str">
        <f>NOMINA!B19</f>
        <v>FLORES BALLESTEROS LEANDRO FRANK</v>
      </c>
      <c r="C19" s="215">
        <v>85</v>
      </c>
      <c r="D19" s="24"/>
      <c r="E19" s="24"/>
      <c r="F19" s="177">
        <f t="shared" si="0"/>
        <v>28</v>
      </c>
      <c r="G19" s="25"/>
    </row>
    <row r="20" spans="1:7">
      <c r="A20" s="26">
        <f>NOMINA!A20</f>
        <v>15</v>
      </c>
      <c r="B20" s="27" t="str">
        <f>NOMINA!B20</f>
        <v>GONZALES MOLINA ARIANET BELEN</v>
      </c>
      <c r="C20" s="215">
        <v>92</v>
      </c>
      <c r="D20" s="24"/>
      <c r="E20" s="24"/>
      <c r="F20" s="177">
        <f t="shared" si="0"/>
        <v>31</v>
      </c>
      <c r="G20" s="25"/>
    </row>
    <row r="21" spans="1:7">
      <c r="A21" s="26">
        <f>NOMINA!A21</f>
        <v>16</v>
      </c>
      <c r="B21" s="27" t="str">
        <f>NOMINA!B21</f>
        <v>GUAQUIPA BECERRA NICOLAS ALEX</v>
      </c>
      <c r="C21" s="215">
        <v>89</v>
      </c>
      <c r="D21" s="24"/>
      <c r="E21" s="24"/>
      <c r="F21" s="177">
        <f t="shared" si="0"/>
        <v>30</v>
      </c>
      <c r="G21" s="25"/>
    </row>
    <row r="22" spans="1:7">
      <c r="A22" s="26">
        <f>NOMINA!A22</f>
        <v>17</v>
      </c>
      <c r="B22" s="27" t="str">
        <f>NOMINA!B22</f>
        <v>HUANQUIRI MAMANI JHOSMAR</v>
      </c>
      <c r="C22" s="215">
        <v>54</v>
      </c>
      <c r="D22" s="24"/>
      <c r="E22" s="24"/>
      <c r="F22" s="177">
        <f t="shared" si="0"/>
        <v>18</v>
      </c>
      <c r="G22" s="25"/>
    </row>
    <row r="23" spans="1:7">
      <c r="A23" s="26">
        <f>NOMINA!A23</f>
        <v>18</v>
      </c>
      <c r="B23" s="27" t="str">
        <f>NOMINA!B23</f>
        <v>JOVE ARNEZ ANDREA LUCIANA</v>
      </c>
      <c r="C23" s="215">
        <v>40</v>
      </c>
      <c r="D23" s="24"/>
      <c r="E23" s="24"/>
      <c r="F23" s="177">
        <f t="shared" si="0"/>
        <v>13</v>
      </c>
      <c r="G23" s="25"/>
    </row>
    <row r="24" spans="1:7">
      <c r="A24" s="26">
        <f>NOMINA!A24</f>
        <v>19</v>
      </c>
      <c r="B24" s="27" t="str">
        <f>NOMINA!B24</f>
        <v>LAFUENTE ORTUÑO VICTORIA VALENTINA</v>
      </c>
      <c r="C24" s="215">
        <v>45</v>
      </c>
      <c r="D24" s="24"/>
      <c r="E24" s="24"/>
      <c r="F24" s="177">
        <f t="shared" si="0"/>
        <v>15</v>
      </c>
      <c r="G24" s="25"/>
    </row>
    <row r="25" spans="1:7">
      <c r="A25" s="26">
        <f>NOMINA!A25</f>
        <v>20</v>
      </c>
      <c r="B25" s="27" t="str">
        <f>NOMINA!B25</f>
        <v>MAGNANI CANAVIRI JOSUE JHONATHAN</v>
      </c>
      <c r="C25" s="215">
        <v>78</v>
      </c>
      <c r="D25" s="24"/>
      <c r="E25" s="24"/>
      <c r="F25" s="177">
        <f t="shared" si="0"/>
        <v>26</v>
      </c>
      <c r="G25" s="25"/>
    </row>
    <row r="26" spans="1:7">
      <c r="A26" s="26">
        <f>NOMINA!A26</f>
        <v>21</v>
      </c>
      <c r="B26" s="27" t="str">
        <f>NOMINA!B26</f>
        <v>MERUVIA GUTIERREZ ASHLY SCARLETT</v>
      </c>
      <c r="C26" s="215">
        <v>99</v>
      </c>
      <c r="D26" s="24"/>
      <c r="E26" s="24"/>
      <c r="F26" s="177">
        <f t="shared" si="0"/>
        <v>33</v>
      </c>
      <c r="G26" s="25"/>
    </row>
    <row r="27" spans="1:7">
      <c r="A27" s="26">
        <f>NOMINA!A27</f>
        <v>22</v>
      </c>
      <c r="B27" s="27" t="str">
        <f>NOMINA!B27</f>
        <v>MONTAÑO QUILO BENJAMIN GONZALO</v>
      </c>
      <c r="C27" s="215">
        <v>45</v>
      </c>
      <c r="D27" s="24"/>
      <c r="E27" s="24"/>
      <c r="F27" s="177">
        <f t="shared" si="0"/>
        <v>15</v>
      </c>
      <c r="G27" s="25"/>
    </row>
    <row r="28" spans="1:7">
      <c r="A28" s="26">
        <f>NOMINA!A28</f>
        <v>23</v>
      </c>
      <c r="B28" s="27" t="str">
        <f>NOMINA!B28</f>
        <v>PANIAGUA VARGAS KEYLA</v>
      </c>
      <c r="C28" s="215">
        <v>77</v>
      </c>
      <c r="D28" s="24"/>
      <c r="E28" s="24"/>
      <c r="F28" s="177">
        <f t="shared" si="0"/>
        <v>26</v>
      </c>
      <c r="G28" s="25"/>
    </row>
    <row r="29" spans="1:7">
      <c r="A29" s="26">
        <f>NOMINA!A29</f>
        <v>24</v>
      </c>
      <c r="B29" s="27" t="str">
        <f>NOMINA!B29</f>
        <v>PATZI GUARACHI MARIA BELEN</v>
      </c>
      <c r="C29" s="215">
        <v>100</v>
      </c>
      <c r="D29" s="24"/>
      <c r="E29" s="24"/>
      <c r="F29" s="177">
        <f t="shared" si="0"/>
        <v>33</v>
      </c>
      <c r="G29" s="25"/>
    </row>
    <row r="30" spans="1:7">
      <c r="A30" s="26">
        <f>NOMINA!A30</f>
        <v>25</v>
      </c>
      <c r="B30" s="27" t="str">
        <f>NOMINA!B30</f>
        <v>QUENALLATA CESPEDES LUMAIDA YANISS</v>
      </c>
      <c r="C30" s="215">
        <v>78</v>
      </c>
      <c r="D30" s="24"/>
      <c r="E30" s="24"/>
      <c r="F30" s="177">
        <f t="shared" si="0"/>
        <v>26</v>
      </c>
      <c r="G30" s="25"/>
    </row>
    <row r="31" spans="1:7">
      <c r="A31" s="26">
        <f>NOMINA!A31</f>
        <v>26</v>
      </c>
      <c r="B31" s="27" t="str">
        <f>NOMINA!B31</f>
        <v>QUISPE ESCARZA CIELO</v>
      </c>
      <c r="C31" s="215">
        <v>47</v>
      </c>
      <c r="D31" s="24"/>
      <c r="E31" s="24"/>
      <c r="F31" s="177">
        <f t="shared" si="0"/>
        <v>16</v>
      </c>
      <c r="G31" s="25"/>
    </row>
    <row r="32" spans="1:7">
      <c r="A32" s="26">
        <f>NOMINA!A32</f>
        <v>27</v>
      </c>
      <c r="B32" s="27" t="str">
        <f>NOMINA!B32</f>
        <v>QUISPE MILAN ADRIAN ANTHONY</v>
      </c>
      <c r="C32" s="215">
        <v>65</v>
      </c>
      <c r="D32" s="24"/>
      <c r="E32" s="24"/>
      <c r="F32" s="177">
        <f t="shared" si="0"/>
        <v>22</v>
      </c>
      <c r="G32" s="25"/>
    </row>
    <row r="33" spans="1:7">
      <c r="A33" s="26">
        <f>NOMINA!A33</f>
        <v>28</v>
      </c>
      <c r="B33" s="27" t="str">
        <f>NOMINA!B33</f>
        <v>ROMAN TITO MATEO</v>
      </c>
      <c r="C33" s="215">
        <v>100</v>
      </c>
      <c r="D33" s="24"/>
      <c r="E33" s="24"/>
      <c r="F33" s="177">
        <f t="shared" si="0"/>
        <v>33</v>
      </c>
      <c r="G33" s="25"/>
    </row>
    <row r="34" spans="1:7">
      <c r="A34" s="26">
        <f>NOMINA!A34</f>
        <v>29</v>
      </c>
      <c r="B34" s="27" t="str">
        <f>NOMINA!B34</f>
        <v xml:space="preserve">SILES MAMANI JUSTIN ANGEL </v>
      </c>
      <c r="C34" s="215">
        <v>70</v>
      </c>
      <c r="D34" s="24"/>
      <c r="E34" s="24"/>
      <c r="F34" s="177">
        <f t="shared" si="0"/>
        <v>23</v>
      </c>
      <c r="G34" s="25"/>
    </row>
    <row r="35" spans="1:7">
      <c r="A35" s="26">
        <f>NOMINA!A35</f>
        <v>30</v>
      </c>
      <c r="B35" s="27" t="str">
        <f>NOMINA!B35</f>
        <v>TERAN COCA DIEGO NICOLAS</v>
      </c>
      <c r="C35" s="215">
        <v>71</v>
      </c>
      <c r="D35" s="24"/>
      <c r="E35" s="24"/>
      <c r="F35" s="177">
        <f t="shared" si="0"/>
        <v>24</v>
      </c>
      <c r="G35" s="25"/>
    </row>
    <row r="36" spans="1:7">
      <c r="A36" s="26">
        <f>NOMINA!A36</f>
        <v>31</v>
      </c>
      <c r="B36" s="27" t="str">
        <f>NOMINA!B36</f>
        <v>URIA LOPEZ SEBASTIAN ARIEL</v>
      </c>
      <c r="C36" s="215">
        <v>72</v>
      </c>
      <c r="D36" s="24"/>
      <c r="E36" s="24"/>
      <c r="F36" s="177">
        <f t="shared" si="0"/>
        <v>24</v>
      </c>
      <c r="G36" s="25"/>
    </row>
    <row r="37" spans="1:7">
      <c r="A37" s="26">
        <f>NOMINA!A37</f>
        <v>32</v>
      </c>
      <c r="B37" s="27" t="str">
        <f>NOMINA!B37</f>
        <v>VASQUEZ ESPINOZA JHONATAN YAYCOB</v>
      </c>
      <c r="C37" s="215">
        <v>76</v>
      </c>
      <c r="D37" s="24"/>
      <c r="E37" s="24"/>
      <c r="F37" s="177">
        <f t="shared" si="0"/>
        <v>25</v>
      </c>
      <c r="G37" s="25"/>
    </row>
    <row r="38" spans="1:7">
      <c r="A38" s="26">
        <f>NOMINA!A38</f>
        <v>33</v>
      </c>
      <c r="B38" s="27" t="str">
        <f>NOMINA!B38</f>
        <v>VEIZAGA LEDEZMA SEBASTIAN</v>
      </c>
      <c r="C38" s="215">
        <v>87</v>
      </c>
      <c r="D38" s="24"/>
      <c r="E38" s="24"/>
      <c r="F38" s="177">
        <f t="shared" si="0"/>
        <v>29</v>
      </c>
      <c r="G38" s="25"/>
    </row>
    <row r="39" spans="1:7">
      <c r="A39" s="26">
        <f>NOMINA!A39</f>
        <v>34</v>
      </c>
      <c r="B39" s="27" t="str">
        <f>NOMINA!B39</f>
        <v>VILLARROEL CUCHILLO HUGO SEBASTIAN</v>
      </c>
      <c r="C39" s="215">
        <v>63</v>
      </c>
      <c r="D39" s="24"/>
      <c r="E39" s="24"/>
      <c r="F39" s="177">
        <f t="shared" si="0"/>
        <v>21</v>
      </c>
      <c r="G39" s="25"/>
    </row>
    <row r="40" spans="1:7">
      <c r="A40" s="26">
        <f>NOMINA!A40</f>
        <v>35</v>
      </c>
      <c r="B40" s="27" t="str">
        <f>NOMINA!B40</f>
        <v>ZAMBRANA MENDEZ MIRCO ALEXANDER</v>
      </c>
      <c r="C40" s="215">
        <v>57</v>
      </c>
      <c r="D40" s="24"/>
      <c r="E40" s="24"/>
      <c r="F40" s="177">
        <f t="shared" si="0"/>
        <v>19</v>
      </c>
      <c r="G40" s="25"/>
    </row>
    <row r="41" spans="1:7">
      <c r="A41" s="26">
        <f>NOMINA!A41</f>
        <v>36</v>
      </c>
      <c r="B41" s="27">
        <f>NOMINA!B41</f>
        <v>0</v>
      </c>
      <c r="C41" s="215"/>
      <c r="D41" s="24"/>
      <c r="E41" s="24"/>
      <c r="F41" s="177" t="str">
        <f t="shared" si="0"/>
        <v xml:space="preserve"> </v>
      </c>
      <c r="G41" s="25"/>
    </row>
    <row r="42" spans="1:7">
      <c r="A42" s="26">
        <f>NOMINA!A42</f>
        <v>37</v>
      </c>
      <c r="B42" s="27">
        <f>NOMINA!B42</f>
        <v>0</v>
      </c>
      <c r="C42" s="215"/>
      <c r="D42" s="24"/>
      <c r="E42" s="24"/>
      <c r="F42" s="177" t="str">
        <f t="shared" si="0"/>
        <v xml:space="preserve"> </v>
      </c>
      <c r="G42" s="25"/>
    </row>
    <row r="43" spans="1:7">
      <c r="A43" s="26">
        <f>NOMINA!A43</f>
        <v>38</v>
      </c>
      <c r="B43" s="27">
        <f>NOMINA!B43</f>
        <v>0</v>
      </c>
      <c r="C43" s="215"/>
      <c r="D43" s="24"/>
      <c r="E43" s="24"/>
      <c r="F43" s="177" t="str">
        <f t="shared" si="0"/>
        <v xml:space="preserve"> </v>
      </c>
      <c r="G43" s="25"/>
    </row>
    <row r="44" spans="1:7">
      <c r="A44" s="26">
        <f>NOMINA!A44</f>
        <v>39</v>
      </c>
      <c r="B44" s="27">
        <f>NOMINA!B44</f>
        <v>0</v>
      </c>
      <c r="C44" s="215"/>
      <c r="D44" s="24"/>
      <c r="E44" s="24"/>
      <c r="F44" s="177" t="str">
        <f t="shared" si="0"/>
        <v xml:space="preserve"> </v>
      </c>
      <c r="G44" s="25"/>
    </row>
    <row r="45" spans="1:7">
      <c r="A45" s="26">
        <f>NOMINA!A45</f>
        <v>40</v>
      </c>
      <c r="B45" s="224">
        <f>NOMINA!B45</f>
        <v>0</v>
      </c>
      <c r="C45" s="218"/>
      <c r="D45" s="219"/>
      <c r="E45" s="219"/>
      <c r="F45" s="223" t="str">
        <f t="shared" si="0"/>
        <v xml:space="preserve"> </v>
      </c>
      <c r="G45" s="220"/>
    </row>
    <row r="46" spans="1:7">
      <c r="A46" s="26">
        <f>NOMINA!A46</f>
        <v>41</v>
      </c>
      <c r="B46" s="188">
        <f>NOMINA!B46</f>
        <v>0</v>
      </c>
      <c r="C46" s="225"/>
      <c r="D46" s="221"/>
      <c r="E46" s="221"/>
      <c r="F46" s="216" t="str">
        <f t="shared" si="0"/>
        <v xml:space="preserve"> </v>
      </c>
      <c r="G46" s="221"/>
    </row>
    <row r="47" spans="1:7">
      <c r="A47" s="26">
        <f>NOMINA!A47</f>
        <v>42</v>
      </c>
      <c r="B47" s="188">
        <f>NOMINA!B47</f>
        <v>0</v>
      </c>
      <c r="C47" s="221"/>
      <c r="D47" s="221"/>
      <c r="E47" s="221"/>
      <c r="F47" s="216" t="str">
        <f t="shared" si="0"/>
        <v xml:space="preserve"> </v>
      </c>
      <c r="G47" s="221"/>
    </row>
    <row r="48" spans="1:7">
      <c r="A48" s="26">
        <f>NOMINA!A48</f>
        <v>43</v>
      </c>
      <c r="B48" s="188">
        <f>NOMINA!B48</f>
        <v>0</v>
      </c>
      <c r="C48" s="221"/>
      <c r="D48" s="221"/>
      <c r="E48" s="221"/>
      <c r="F48" s="216" t="str">
        <f t="shared" si="0"/>
        <v xml:space="preserve"> </v>
      </c>
      <c r="G48" s="221"/>
    </row>
    <row r="49" spans="1:7">
      <c r="A49" s="26">
        <f>NOMINA!A49</f>
        <v>44</v>
      </c>
      <c r="B49" s="188">
        <f>NOMINA!B49</f>
        <v>0</v>
      </c>
      <c r="C49" s="221"/>
      <c r="D49" s="221"/>
      <c r="E49" s="221"/>
      <c r="F49" s="216" t="str">
        <f t="shared" si="0"/>
        <v xml:space="preserve"> </v>
      </c>
      <c r="G49" s="221"/>
    </row>
    <row r="50" spans="1:7">
      <c r="A50" s="26">
        <f>NOMINA!A50</f>
        <v>45</v>
      </c>
      <c r="B50" s="188">
        <f>NOMINA!B50</f>
        <v>0</v>
      </c>
      <c r="C50" s="221"/>
      <c r="D50" s="221"/>
      <c r="E50" s="221"/>
      <c r="F50" s="216" t="str">
        <f t="shared" si="0"/>
        <v xml:space="preserve"> </v>
      </c>
      <c r="G50" s="221"/>
    </row>
  </sheetData>
  <protectedRanges>
    <protectedRange sqref="G6:G45 D6:E45" name="Rango1"/>
  </protectedRanges>
  <customSheetViews>
    <customSheetView guid="{2AA0188C-879C-4D95-82F5-15F4B34AA912}">
      <selection activeCell="T14" sqref="T14"/>
      <pageMargins left="0.7" right="0.7" top="0.75" bottom="0.75" header="0.3" footer="0.3"/>
    </customSheetView>
  </customSheetViews>
  <mergeCells count="4">
    <mergeCell ref="F4:G4"/>
    <mergeCell ref="D2:E2"/>
    <mergeCell ref="A4:A5"/>
    <mergeCell ref="B4:B5"/>
  </mergeCells>
  <conditionalFormatting sqref="C6:F50">
    <cfRule type="cellIs" dxfId="35" priority="2" operator="lessThan">
      <formula>35</formula>
    </cfRule>
    <cfRule type="cellIs" dxfId="34" priority="3" operator="lessThan">
      <formula>51</formula>
    </cfRule>
  </conditionalFormatting>
  <dataValidations count="1">
    <dataValidation type="decimal" allowBlank="1" showInputMessage="1" showErrorMessage="1" sqref="C6:C46" xr:uid="{00000000-0002-0000-0500-000000000000}">
      <formula1>35</formula1>
      <formula2>100</formula2>
    </dataValidation>
  </dataValidations>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7">
    <tabColor theme="3" tint="0.39997558519241921"/>
  </sheetPr>
  <dimension ref="A1:G50"/>
  <sheetViews>
    <sheetView topLeftCell="A4" workbookViewId="0">
      <selection activeCell="C6" sqref="C6:C40"/>
    </sheetView>
  </sheetViews>
  <sheetFormatPr defaultColWidth="11.42578125" defaultRowHeight="15"/>
  <cols>
    <col min="1" max="1" width="4.28515625" customWidth="1"/>
    <col min="2" max="2" width="45.140625" bestFit="1" customWidth="1"/>
    <col min="3" max="6" width="8.7109375" customWidth="1"/>
    <col min="7" max="7" width="15.5703125" customWidth="1"/>
  </cols>
  <sheetData>
    <row r="1" spans="1:7">
      <c r="A1" s="18"/>
      <c r="B1" s="18"/>
      <c r="C1" s="18"/>
      <c r="D1" s="18"/>
      <c r="E1" s="18"/>
      <c r="F1" s="18"/>
      <c r="G1" s="18"/>
    </row>
    <row r="2" spans="1:7" ht="18.75">
      <c r="A2" s="19"/>
      <c r="B2" s="20" t="str">
        <f>NOMINA!$B$2</f>
        <v>CURSO 2A</v>
      </c>
      <c r="C2" s="21" t="s">
        <v>6</v>
      </c>
      <c r="D2" s="268" t="s">
        <v>53</v>
      </c>
      <c r="E2" s="268"/>
      <c r="F2" s="268"/>
      <c r="G2" s="18"/>
    </row>
    <row r="3" spans="1:7" ht="15.75" thickBot="1">
      <c r="A3" s="18"/>
      <c r="B3" s="18"/>
      <c r="C3" s="18"/>
      <c r="D3" s="18"/>
      <c r="E3" s="18"/>
      <c r="F3" s="18"/>
      <c r="G3" s="18"/>
    </row>
    <row r="4" spans="1:7" ht="15.75" customHeight="1" thickBot="1">
      <c r="A4" s="264" t="s">
        <v>0</v>
      </c>
      <c r="B4" s="266" t="s">
        <v>1</v>
      </c>
      <c r="C4" s="173" t="s">
        <v>81</v>
      </c>
      <c r="D4" s="173" t="s">
        <v>82</v>
      </c>
      <c r="E4" s="173" t="s">
        <v>83</v>
      </c>
      <c r="F4" s="262" t="s">
        <v>32</v>
      </c>
      <c r="G4" s="263"/>
    </row>
    <row r="5" spans="1:7" ht="44.25" customHeight="1">
      <c r="A5" s="265"/>
      <c r="B5" s="267"/>
      <c r="C5" s="174" t="s">
        <v>33</v>
      </c>
      <c r="D5" s="174" t="s">
        <v>33</v>
      </c>
      <c r="E5" s="174" t="s">
        <v>33</v>
      </c>
      <c r="F5" s="175" t="s">
        <v>34</v>
      </c>
      <c r="G5" s="176" t="s">
        <v>80</v>
      </c>
    </row>
    <row r="6" spans="1:7">
      <c r="A6" s="26">
        <f>NOMINA!A6</f>
        <v>1</v>
      </c>
      <c r="B6" s="27" t="str">
        <f>NOMINA!B6</f>
        <v>ABREU MARRERO LIZ DANIELA</v>
      </c>
      <c r="C6" s="215">
        <v>71</v>
      </c>
      <c r="D6" s="24"/>
      <c r="E6" s="24"/>
      <c r="F6" s="177">
        <f t="shared" ref="F6:F50" si="0">IF(ROUND((C6+D6+E6)/3,0)&gt;0,ROUND((C6+D6+E6)/3,0)," ")</f>
        <v>24</v>
      </c>
      <c r="G6" s="25"/>
    </row>
    <row r="7" spans="1:7">
      <c r="A7" s="26">
        <f>NOMINA!A7</f>
        <v>2</v>
      </c>
      <c r="B7" s="27" t="str">
        <f>NOMINA!B7</f>
        <v>ALIAGA SAAVEDRA MARCU MAURICIO</v>
      </c>
      <c r="C7" s="215">
        <v>55</v>
      </c>
      <c r="D7" s="24"/>
      <c r="E7" s="24"/>
      <c r="F7" s="177">
        <f t="shared" si="0"/>
        <v>18</v>
      </c>
      <c r="G7" s="25"/>
    </row>
    <row r="8" spans="1:7">
      <c r="A8" s="26">
        <f>NOMINA!A8</f>
        <v>3</v>
      </c>
      <c r="B8" s="27" t="str">
        <f>NOMINA!B8</f>
        <v>ANTEZANA CACHI JOSE MAXWEL</v>
      </c>
      <c r="C8" s="215">
        <v>59</v>
      </c>
      <c r="D8" s="24"/>
      <c r="E8" s="24"/>
      <c r="F8" s="177">
        <f t="shared" si="0"/>
        <v>20</v>
      </c>
      <c r="G8" s="25"/>
    </row>
    <row r="9" spans="1:7">
      <c r="A9" s="26">
        <f>NOMINA!A9</f>
        <v>4</v>
      </c>
      <c r="B9" s="27" t="str">
        <f>NOMINA!B9</f>
        <v>ARIZACA SALGUERO SANTIAGO</v>
      </c>
      <c r="C9" s="215">
        <v>63</v>
      </c>
      <c r="D9" s="24"/>
      <c r="E9" s="24"/>
      <c r="F9" s="177">
        <f t="shared" si="0"/>
        <v>21</v>
      </c>
      <c r="G9" s="25"/>
    </row>
    <row r="10" spans="1:7">
      <c r="A10" s="26">
        <f>NOMINA!A10</f>
        <v>5</v>
      </c>
      <c r="B10" s="27" t="str">
        <f>NOMINA!B10</f>
        <v>BAUTISTA GARCIA ALISON LUCIANA</v>
      </c>
      <c r="C10" s="215">
        <v>71</v>
      </c>
      <c r="D10" s="24"/>
      <c r="E10" s="24"/>
      <c r="F10" s="177">
        <f t="shared" si="0"/>
        <v>24</v>
      </c>
      <c r="G10" s="25"/>
    </row>
    <row r="11" spans="1:7">
      <c r="A11" s="26">
        <f>NOMINA!A11</f>
        <v>6</v>
      </c>
      <c r="B11" s="27" t="str">
        <f>NOMINA!B11</f>
        <v>BOLIVAR REVOLLO NIVARDO ADOLFO</v>
      </c>
      <c r="C11" s="215">
        <v>53</v>
      </c>
      <c r="D11" s="24"/>
      <c r="E11" s="24"/>
      <c r="F11" s="177">
        <f t="shared" si="0"/>
        <v>18</v>
      </c>
      <c r="G11" s="25" t="s">
        <v>47</v>
      </c>
    </row>
    <row r="12" spans="1:7">
      <c r="A12" s="26">
        <f>NOMINA!A12</f>
        <v>7</v>
      </c>
      <c r="B12" s="27" t="str">
        <f>NOMINA!B12</f>
        <v>CADIMA SOLIZ NICOLAS</v>
      </c>
      <c r="C12" s="215">
        <v>59</v>
      </c>
      <c r="D12" s="24"/>
      <c r="E12" s="24"/>
      <c r="F12" s="177">
        <f t="shared" si="0"/>
        <v>20</v>
      </c>
      <c r="G12" s="25"/>
    </row>
    <row r="13" spans="1:7">
      <c r="A13" s="26">
        <f>NOMINA!A13</f>
        <v>8</v>
      </c>
      <c r="B13" s="27" t="str">
        <f>NOMINA!B13</f>
        <v>CALLE PEREZ ANDREA BELEN</v>
      </c>
      <c r="C13" s="215">
        <v>69</v>
      </c>
      <c r="D13" s="24"/>
      <c r="E13" s="24"/>
      <c r="F13" s="177">
        <f t="shared" si="0"/>
        <v>23</v>
      </c>
      <c r="G13" s="25"/>
    </row>
    <row r="14" spans="1:7">
      <c r="A14" s="26">
        <f>NOMINA!A14</f>
        <v>9</v>
      </c>
      <c r="B14" s="27" t="str">
        <f>NOMINA!B14</f>
        <v>CHAVEZ AMURRIO SEBASTIAN FABIAN</v>
      </c>
      <c r="C14" s="215">
        <v>67</v>
      </c>
      <c r="D14" s="24"/>
      <c r="E14" s="24"/>
      <c r="F14" s="177">
        <f t="shared" si="0"/>
        <v>22</v>
      </c>
      <c r="G14" s="25"/>
    </row>
    <row r="15" spans="1:7">
      <c r="A15" s="26">
        <f>NOMINA!A15</f>
        <v>10</v>
      </c>
      <c r="B15" s="27" t="str">
        <f>NOMINA!B15</f>
        <v>CHOQUE ARISPE YURIANA LUCIA</v>
      </c>
      <c r="C15" s="215">
        <v>66</v>
      </c>
      <c r="D15" s="24"/>
      <c r="E15" s="24"/>
      <c r="F15" s="177">
        <f t="shared" si="0"/>
        <v>22</v>
      </c>
      <c r="G15" s="25"/>
    </row>
    <row r="16" spans="1:7">
      <c r="A16" s="26">
        <f>NOMINA!A16</f>
        <v>11</v>
      </c>
      <c r="B16" s="27" t="str">
        <f>NOMINA!B16</f>
        <v>CHOQUE PERALTA JHOEL ELIAZAR</v>
      </c>
      <c r="C16" s="215">
        <v>73</v>
      </c>
      <c r="D16" s="24"/>
      <c r="E16" s="24"/>
      <c r="F16" s="177">
        <f t="shared" si="0"/>
        <v>24</v>
      </c>
      <c r="G16" s="25"/>
    </row>
    <row r="17" spans="1:7">
      <c r="A17" s="26">
        <f>NOMINA!A17</f>
        <v>12</v>
      </c>
      <c r="B17" s="27" t="str">
        <f>NOMINA!B17</f>
        <v>COPA RIVERO MARCIA MARCELA</v>
      </c>
      <c r="C17" s="215">
        <v>61</v>
      </c>
      <c r="D17" s="24"/>
      <c r="E17" s="24"/>
      <c r="F17" s="177">
        <f t="shared" si="0"/>
        <v>20</v>
      </c>
      <c r="G17" s="25"/>
    </row>
    <row r="18" spans="1:7">
      <c r="A18" s="26">
        <f>NOMINA!A18</f>
        <v>13</v>
      </c>
      <c r="B18" s="27" t="str">
        <f>NOMINA!B18</f>
        <v>CORIA URUÑO CHRISTOPER GABRIEL</v>
      </c>
      <c r="C18" s="215">
        <v>62</v>
      </c>
      <c r="D18" s="24"/>
      <c r="E18" s="24"/>
      <c r="F18" s="177">
        <f t="shared" si="0"/>
        <v>21</v>
      </c>
      <c r="G18" s="25"/>
    </row>
    <row r="19" spans="1:7">
      <c r="A19" s="26">
        <f>NOMINA!A19</f>
        <v>14</v>
      </c>
      <c r="B19" s="27" t="str">
        <f>NOMINA!B19</f>
        <v>FLORES BALLESTEROS LEANDRO FRANK</v>
      </c>
      <c r="C19" s="215">
        <v>74</v>
      </c>
      <c r="D19" s="24"/>
      <c r="E19" s="24"/>
      <c r="F19" s="177">
        <f t="shared" si="0"/>
        <v>25</v>
      </c>
      <c r="G19" s="25"/>
    </row>
    <row r="20" spans="1:7">
      <c r="A20" s="26">
        <f>NOMINA!A20</f>
        <v>15</v>
      </c>
      <c r="B20" s="27" t="str">
        <f>NOMINA!B20</f>
        <v>GONZALES MOLINA ARIANET BELEN</v>
      </c>
      <c r="C20" s="215">
        <v>82</v>
      </c>
      <c r="D20" s="24"/>
      <c r="E20" s="24"/>
      <c r="F20" s="177">
        <f t="shared" si="0"/>
        <v>27</v>
      </c>
      <c r="G20" s="25"/>
    </row>
    <row r="21" spans="1:7">
      <c r="A21" s="26">
        <f>NOMINA!A21</f>
        <v>16</v>
      </c>
      <c r="B21" s="27" t="str">
        <f>NOMINA!B21</f>
        <v>GUAQUIPA BECERRA NICOLAS ALEX</v>
      </c>
      <c r="C21" s="215">
        <v>70</v>
      </c>
      <c r="D21" s="24"/>
      <c r="E21" s="24"/>
      <c r="F21" s="177">
        <f t="shared" si="0"/>
        <v>23</v>
      </c>
      <c r="G21" s="25"/>
    </row>
    <row r="22" spans="1:7">
      <c r="A22" s="26">
        <f>NOMINA!A22</f>
        <v>17</v>
      </c>
      <c r="B22" s="27" t="str">
        <f>NOMINA!B22</f>
        <v>HUANQUIRI MAMANI JHOSMAR</v>
      </c>
      <c r="C22" s="215">
        <v>55</v>
      </c>
      <c r="D22" s="24"/>
      <c r="E22" s="24"/>
      <c r="F22" s="177">
        <f t="shared" si="0"/>
        <v>18</v>
      </c>
      <c r="G22" s="25"/>
    </row>
    <row r="23" spans="1:7">
      <c r="A23" s="26">
        <f>NOMINA!A23</f>
        <v>18</v>
      </c>
      <c r="B23" s="27" t="str">
        <f>NOMINA!B23</f>
        <v>JOVE ARNEZ ANDREA LUCIANA</v>
      </c>
      <c r="C23" s="215">
        <v>56</v>
      </c>
      <c r="D23" s="24"/>
      <c r="E23" s="24"/>
      <c r="F23" s="177">
        <f t="shared" si="0"/>
        <v>19</v>
      </c>
      <c r="G23" s="25"/>
    </row>
    <row r="24" spans="1:7">
      <c r="A24" s="26">
        <f>NOMINA!A24</f>
        <v>19</v>
      </c>
      <c r="B24" s="27" t="str">
        <f>NOMINA!B24</f>
        <v>LAFUENTE ORTUÑO VICTORIA VALENTINA</v>
      </c>
      <c r="C24" s="215">
        <v>51</v>
      </c>
      <c r="D24" s="24"/>
      <c r="E24" s="24"/>
      <c r="F24" s="177">
        <f t="shared" si="0"/>
        <v>17</v>
      </c>
      <c r="G24" s="25"/>
    </row>
    <row r="25" spans="1:7">
      <c r="A25" s="26">
        <f>NOMINA!A25</f>
        <v>20</v>
      </c>
      <c r="B25" s="27" t="str">
        <f>NOMINA!B25</f>
        <v>MAGNANI CANAVIRI JOSUE JHONATHAN</v>
      </c>
      <c r="C25" s="215">
        <v>73</v>
      </c>
      <c r="D25" s="24"/>
      <c r="E25" s="24"/>
      <c r="F25" s="177">
        <f t="shared" si="0"/>
        <v>24</v>
      </c>
      <c r="G25" s="25"/>
    </row>
    <row r="26" spans="1:7">
      <c r="A26" s="26">
        <f>NOMINA!A26</f>
        <v>21</v>
      </c>
      <c r="B26" s="27" t="str">
        <f>NOMINA!B26</f>
        <v>MERUVIA GUTIERREZ ASHLY SCARLETT</v>
      </c>
      <c r="C26" s="215">
        <v>89</v>
      </c>
      <c r="D26" s="24"/>
      <c r="E26" s="24"/>
      <c r="F26" s="177">
        <f t="shared" si="0"/>
        <v>30</v>
      </c>
      <c r="G26" s="25"/>
    </row>
    <row r="27" spans="1:7">
      <c r="A27" s="26">
        <f>NOMINA!A27</f>
        <v>22</v>
      </c>
      <c r="B27" s="27" t="str">
        <f>NOMINA!B27</f>
        <v>MONTAÑO QUILO BENJAMIN GONZALO</v>
      </c>
      <c r="C27" s="215">
        <v>58</v>
      </c>
      <c r="D27" s="24"/>
      <c r="E27" s="24"/>
      <c r="F27" s="177">
        <f t="shared" si="0"/>
        <v>19</v>
      </c>
      <c r="G27" s="25"/>
    </row>
    <row r="28" spans="1:7">
      <c r="A28" s="26">
        <f>NOMINA!A28</f>
        <v>23</v>
      </c>
      <c r="B28" s="27" t="str">
        <f>NOMINA!B28</f>
        <v>PANIAGUA VARGAS KEYLA</v>
      </c>
      <c r="C28" s="215">
        <v>86</v>
      </c>
      <c r="D28" s="24"/>
      <c r="E28" s="24"/>
      <c r="F28" s="177">
        <f t="shared" si="0"/>
        <v>29</v>
      </c>
      <c r="G28" s="25"/>
    </row>
    <row r="29" spans="1:7">
      <c r="A29" s="26">
        <f>NOMINA!A29</f>
        <v>24</v>
      </c>
      <c r="B29" s="27" t="str">
        <f>NOMINA!B29</f>
        <v>PATZI GUARACHI MARIA BELEN</v>
      </c>
      <c r="C29" s="215">
        <v>62</v>
      </c>
      <c r="D29" s="24"/>
      <c r="E29" s="24"/>
      <c r="F29" s="177">
        <f t="shared" si="0"/>
        <v>21</v>
      </c>
      <c r="G29" s="25"/>
    </row>
    <row r="30" spans="1:7">
      <c r="A30" s="26">
        <f>NOMINA!A30</f>
        <v>25</v>
      </c>
      <c r="B30" s="27" t="str">
        <f>NOMINA!B30</f>
        <v>QUENALLATA CESPEDES LUMAIDA YANISS</v>
      </c>
      <c r="C30" s="215">
        <v>58</v>
      </c>
      <c r="D30" s="24"/>
      <c r="E30" s="24"/>
      <c r="F30" s="177">
        <f t="shared" si="0"/>
        <v>19</v>
      </c>
      <c r="G30" s="25"/>
    </row>
    <row r="31" spans="1:7">
      <c r="A31" s="26">
        <f>NOMINA!A31</f>
        <v>26</v>
      </c>
      <c r="B31" s="27" t="str">
        <f>NOMINA!B31</f>
        <v>QUISPE ESCARZA CIELO</v>
      </c>
      <c r="C31" s="215">
        <v>61</v>
      </c>
      <c r="D31" s="24"/>
      <c r="E31" s="24"/>
      <c r="F31" s="177">
        <f t="shared" si="0"/>
        <v>20</v>
      </c>
      <c r="G31" s="25"/>
    </row>
    <row r="32" spans="1:7">
      <c r="A32" s="26">
        <f>NOMINA!A32</f>
        <v>27</v>
      </c>
      <c r="B32" s="27" t="str">
        <f>NOMINA!B32</f>
        <v>QUISPE MILAN ADRIAN ANTHONY</v>
      </c>
      <c r="C32" s="215">
        <v>60</v>
      </c>
      <c r="D32" s="24"/>
      <c r="E32" s="24"/>
      <c r="F32" s="177">
        <f t="shared" si="0"/>
        <v>20</v>
      </c>
      <c r="G32" s="25"/>
    </row>
    <row r="33" spans="1:7">
      <c r="A33" s="26">
        <f>NOMINA!A33</f>
        <v>28</v>
      </c>
      <c r="B33" s="27" t="str">
        <f>NOMINA!B33</f>
        <v>ROMAN TITO MATEO</v>
      </c>
      <c r="C33" s="215">
        <v>70</v>
      </c>
      <c r="D33" s="24"/>
      <c r="E33" s="24"/>
      <c r="F33" s="177">
        <f t="shared" si="0"/>
        <v>23</v>
      </c>
      <c r="G33" s="25"/>
    </row>
    <row r="34" spans="1:7">
      <c r="A34" s="26">
        <f>NOMINA!A34</f>
        <v>29</v>
      </c>
      <c r="B34" s="27" t="str">
        <f>NOMINA!B34</f>
        <v xml:space="preserve">SILES MAMANI JUSTIN ANGEL </v>
      </c>
      <c r="C34" s="215">
        <v>61</v>
      </c>
      <c r="D34" s="24"/>
      <c r="E34" s="24"/>
      <c r="F34" s="177">
        <f t="shared" si="0"/>
        <v>20</v>
      </c>
      <c r="G34" s="25"/>
    </row>
    <row r="35" spans="1:7">
      <c r="A35" s="26">
        <f>NOMINA!A35</f>
        <v>30</v>
      </c>
      <c r="B35" s="27" t="str">
        <f>NOMINA!B35</f>
        <v>TERAN COCA DIEGO NICOLAS</v>
      </c>
      <c r="C35" s="215">
        <v>59</v>
      </c>
      <c r="D35" s="24"/>
      <c r="E35" s="24"/>
      <c r="F35" s="177">
        <f t="shared" si="0"/>
        <v>20</v>
      </c>
      <c r="G35" s="25"/>
    </row>
    <row r="36" spans="1:7">
      <c r="A36" s="26">
        <f>NOMINA!A36</f>
        <v>31</v>
      </c>
      <c r="B36" s="27" t="str">
        <f>NOMINA!B36</f>
        <v>URIA LOPEZ SEBASTIAN ARIEL</v>
      </c>
      <c r="C36" s="215">
        <v>67</v>
      </c>
      <c r="D36" s="24"/>
      <c r="E36" s="24"/>
      <c r="F36" s="177">
        <f t="shared" si="0"/>
        <v>22</v>
      </c>
      <c r="G36" s="25"/>
    </row>
    <row r="37" spans="1:7">
      <c r="A37" s="26">
        <f>NOMINA!A37</f>
        <v>32</v>
      </c>
      <c r="B37" s="27" t="str">
        <f>NOMINA!B37</f>
        <v>VASQUEZ ESPINOZA JHONATAN YAYCOB</v>
      </c>
      <c r="C37" s="215">
        <v>71</v>
      </c>
      <c r="D37" s="24"/>
      <c r="E37" s="24"/>
      <c r="F37" s="177">
        <f t="shared" si="0"/>
        <v>24</v>
      </c>
      <c r="G37" s="25"/>
    </row>
    <row r="38" spans="1:7">
      <c r="A38" s="26">
        <f>NOMINA!A38</f>
        <v>33</v>
      </c>
      <c r="B38" s="27" t="str">
        <f>NOMINA!B38</f>
        <v>VEIZAGA LEDEZMA SEBASTIAN</v>
      </c>
      <c r="C38" s="215">
        <v>59</v>
      </c>
      <c r="D38" s="24"/>
      <c r="E38" s="24"/>
      <c r="F38" s="177">
        <f t="shared" si="0"/>
        <v>20</v>
      </c>
      <c r="G38" s="25"/>
    </row>
    <row r="39" spans="1:7">
      <c r="A39" s="26">
        <f>NOMINA!A39</f>
        <v>34</v>
      </c>
      <c r="B39" s="27" t="str">
        <f>NOMINA!B39</f>
        <v>VILLARROEL CUCHILLO HUGO SEBASTIAN</v>
      </c>
      <c r="C39" s="215">
        <v>59</v>
      </c>
      <c r="D39" s="24"/>
      <c r="E39" s="24"/>
      <c r="F39" s="177">
        <f t="shared" si="0"/>
        <v>20</v>
      </c>
      <c r="G39" s="25"/>
    </row>
    <row r="40" spans="1:7">
      <c r="A40" s="26">
        <f>NOMINA!A40</f>
        <v>35</v>
      </c>
      <c r="B40" s="27" t="str">
        <f>NOMINA!B40</f>
        <v>ZAMBRANA MENDEZ MIRCO ALEXANDER</v>
      </c>
      <c r="C40" s="215">
        <v>70</v>
      </c>
      <c r="D40" s="24"/>
      <c r="E40" s="24"/>
      <c r="F40" s="177">
        <f t="shared" si="0"/>
        <v>23</v>
      </c>
      <c r="G40" s="25"/>
    </row>
    <row r="41" spans="1:7">
      <c r="A41" s="26">
        <f>NOMINA!A41</f>
        <v>36</v>
      </c>
      <c r="B41" s="27">
        <f>NOMINA!B41</f>
        <v>0</v>
      </c>
      <c r="C41" s="215"/>
      <c r="D41" s="24"/>
      <c r="E41" s="24"/>
      <c r="F41" s="177" t="str">
        <f t="shared" si="0"/>
        <v xml:space="preserve"> </v>
      </c>
      <c r="G41" s="25"/>
    </row>
    <row r="42" spans="1:7">
      <c r="A42" s="26">
        <f>NOMINA!A42</f>
        <v>37</v>
      </c>
      <c r="B42" s="27">
        <f>NOMINA!B42</f>
        <v>0</v>
      </c>
      <c r="C42" s="215"/>
      <c r="D42" s="24"/>
      <c r="E42" s="24"/>
      <c r="F42" s="177" t="str">
        <f t="shared" si="0"/>
        <v xml:space="preserve"> </v>
      </c>
      <c r="G42" s="25"/>
    </row>
    <row r="43" spans="1:7">
      <c r="A43" s="26">
        <f>NOMINA!A43</f>
        <v>38</v>
      </c>
      <c r="B43" s="27">
        <f>NOMINA!B43</f>
        <v>0</v>
      </c>
      <c r="C43" s="215"/>
      <c r="D43" s="24"/>
      <c r="E43" s="24"/>
      <c r="F43" s="177" t="str">
        <f t="shared" si="0"/>
        <v xml:space="preserve"> </v>
      </c>
      <c r="G43" s="25"/>
    </row>
    <row r="44" spans="1:7">
      <c r="A44" s="26">
        <f>NOMINA!A44</f>
        <v>39</v>
      </c>
      <c r="B44" s="27">
        <f>NOMINA!B44</f>
        <v>0</v>
      </c>
      <c r="C44" s="215"/>
      <c r="D44" s="24"/>
      <c r="E44" s="24"/>
      <c r="F44" s="177" t="str">
        <f t="shared" si="0"/>
        <v xml:space="preserve"> </v>
      </c>
      <c r="G44" s="25"/>
    </row>
    <row r="45" spans="1:7">
      <c r="A45" s="26">
        <f>NOMINA!A45</f>
        <v>40</v>
      </c>
      <c r="B45" s="27">
        <f>NOMINA!B45</f>
        <v>0</v>
      </c>
      <c r="C45" s="215"/>
      <c r="D45" s="24"/>
      <c r="E45" s="24"/>
      <c r="F45" s="177" t="str">
        <f t="shared" ref="F45:F49" si="1">IF(ROUND((C45+D45+E45)/3,0)&gt;0,ROUND((C45+D45+E45)/3,0)," ")</f>
        <v xml:space="preserve"> </v>
      </c>
      <c r="G45" s="25"/>
    </row>
    <row r="46" spans="1:7">
      <c r="A46" s="26">
        <f>NOMINA!A46</f>
        <v>41</v>
      </c>
      <c r="B46" s="224">
        <f>NOMINA!B46</f>
        <v>0</v>
      </c>
      <c r="C46" s="215"/>
      <c r="D46" s="24"/>
      <c r="E46" s="24"/>
      <c r="F46" s="177" t="str">
        <f t="shared" si="1"/>
        <v xml:space="preserve"> </v>
      </c>
      <c r="G46" s="25"/>
    </row>
    <row r="47" spans="1:7">
      <c r="A47" s="26">
        <f>NOMINA!A47</f>
        <v>42</v>
      </c>
      <c r="B47" s="188">
        <f>NOMINA!B47</f>
        <v>0</v>
      </c>
      <c r="C47" s="215"/>
      <c r="D47" s="24"/>
      <c r="E47" s="24"/>
      <c r="F47" s="177" t="str">
        <f t="shared" si="1"/>
        <v xml:space="preserve"> </v>
      </c>
      <c r="G47" s="25"/>
    </row>
    <row r="48" spans="1:7">
      <c r="A48" s="26">
        <f>NOMINA!A48</f>
        <v>43</v>
      </c>
      <c r="B48" s="188">
        <f>NOMINA!B48</f>
        <v>0</v>
      </c>
      <c r="C48" s="215"/>
      <c r="D48" s="24"/>
      <c r="E48" s="24"/>
      <c r="F48" s="177" t="str">
        <f t="shared" si="1"/>
        <v xml:space="preserve"> </v>
      </c>
      <c r="G48" s="25"/>
    </row>
    <row r="49" spans="1:7">
      <c r="A49" s="26">
        <f>NOMINA!A49</f>
        <v>44</v>
      </c>
      <c r="B49" s="188">
        <f>NOMINA!B49</f>
        <v>0</v>
      </c>
      <c r="C49" s="215"/>
      <c r="D49" s="24"/>
      <c r="E49" s="24"/>
      <c r="F49" s="177" t="str">
        <f t="shared" si="1"/>
        <v xml:space="preserve"> </v>
      </c>
      <c r="G49" s="25"/>
    </row>
    <row r="50" spans="1:7">
      <c r="A50" s="26">
        <f>NOMINA!A50</f>
        <v>45</v>
      </c>
      <c r="B50" s="188">
        <f>NOMINA!B50</f>
        <v>0</v>
      </c>
      <c r="C50" s="221"/>
      <c r="D50" s="221"/>
      <c r="E50" s="221"/>
      <c r="F50" s="216" t="str">
        <f t="shared" si="0"/>
        <v xml:space="preserve"> </v>
      </c>
      <c r="G50" s="221"/>
    </row>
  </sheetData>
  <protectedRanges>
    <protectedRange sqref="C6:E49 G6:G49" name="Rango1"/>
  </protectedRanges>
  <customSheetViews>
    <customSheetView guid="{2AA0188C-879C-4D95-82F5-15F4B34AA912}">
      <selection activeCell="B16" sqref="B16"/>
      <pageMargins left="0.7" right="0.7" top="0.75" bottom="0.75" header="0.3" footer="0.3"/>
    </customSheetView>
  </customSheetViews>
  <mergeCells count="4">
    <mergeCell ref="F4:G4"/>
    <mergeCell ref="A4:A5"/>
    <mergeCell ref="B4:B5"/>
    <mergeCell ref="D2:F2"/>
  </mergeCells>
  <conditionalFormatting sqref="C6:F50">
    <cfRule type="cellIs" dxfId="33" priority="1" operator="lessThan">
      <formula>35</formula>
    </cfRule>
    <cfRule type="cellIs" dxfId="32" priority="2" operator="lessThan">
      <formula>51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tabColor rgb="FF00B050"/>
  </sheetPr>
  <dimension ref="A1:G50"/>
  <sheetViews>
    <sheetView workbookViewId="0">
      <selection activeCell="C6" sqref="C6:C40"/>
    </sheetView>
  </sheetViews>
  <sheetFormatPr defaultColWidth="11.42578125" defaultRowHeight="15"/>
  <cols>
    <col min="1" max="1" width="4.28515625" customWidth="1"/>
    <col min="2" max="2" width="45.140625" bestFit="1" customWidth="1"/>
    <col min="3" max="6" width="8.7109375" customWidth="1"/>
    <col min="7" max="7" width="15.5703125" customWidth="1"/>
  </cols>
  <sheetData>
    <row r="1" spans="1:7">
      <c r="A1" s="18"/>
      <c r="B1" s="18"/>
      <c r="C1" s="18"/>
      <c r="D1" s="18"/>
      <c r="E1" s="18"/>
      <c r="F1" s="18"/>
      <c r="G1" s="18"/>
    </row>
    <row r="2" spans="1:7" ht="18.75">
      <c r="A2" s="19"/>
      <c r="B2" s="20" t="str">
        <f>NOMINA!$B$2</f>
        <v>CURSO 2A</v>
      </c>
      <c r="C2" s="21" t="s">
        <v>6</v>
      </c>
      <c r="D2" s="268" t="s">
        <v>8</v>
      </c>
      <c r="E2" s="268"/>
      <c r="F2" s="268"/>
      <c r="G2" s="18"/>
    </row>
    <row r="3" spans="1:7" ht="15.75" thickBot="1">
      <c r="A3" s="18"/>
      <c r="B3" s="18"/>
      <c r="C3" s="18"/>
      <c r="D3" s="18"/>
      <c r="E3" s="18"/>
      <c r="F3" s="18"/>
      <c r="G3" s="18"/>
    </row>
    <row r="4" spans="1:7" ht="15.75" customHeight="1" thickBot="1">
      <c r="A4" s="264" t="s">
        <v>0</v>
      </c>
      <c r="B4" s="266" t="s">
        <v>1</v>
      </c>
      <c r="C4" s="173" t="s">
        <v>81</v>
      </c>
      <c r="D4" s="173" t="s">
        <v>82</v>
      </c>
      <c r="E4" s="173" t="s">
        <v>83</v>
      </c>
      <c r="F4" s="262" t="s">
        <v>32</v>
      </c>
      <c r="G4" s="263"/>
    </row>
    <row r="5" spans="1:7" ht="44.25" customHeight="1">
      <c r="A5" s="265"/>
      <c r="B5" s="267"/>
      <c r="C5" s="174" t="s">
        <v>33</v>
      </c>
      <c r="D5" s="174" t="s">
        <v>33</v>
      </c>
      <c r="E5" s="174" t="s">
        <v>33</v>
      </c>
      <c r="F5" s="175" t="s">
        <v>34</v>
      </c>
      <c r="G5" s="176" t="s">
        <v>80</v>
      </c>
    </row>
    <row r="6" spans="1:7">
      <c r="A6" s="26">
        <f>NOMINA!A6</f>
        <v>1</v>
      </c>
      <c r="B6" s="27" t="str">
        <f>NOMINA!B6</f>
        <v>ABREU MARRERO LIZ DANIELA</v>
      </c>
      <c r="C6" s="215">
        <v>64</v>
      </c>
      <c r="D6" s="24"/>
      <c r="E6" s="24"/>
      <c r="F6" s="177">
        <f t="shared" ref="F6:F50" si="0">IF(ROUND((C6+D6+E6)/3,0)&gt;0,ROUND((C6+D6+E6)/3,0)," ")</f>
        <v>21</v>
      </c>
      <c r="G6" s="25"/>
    </row>
    <row r="7" spans="1:7">
      <c r="A7" s="26">
        <f>NOMINA!A7</f>
        <v>2</v>
      </c>
      <c r="B7" s="27" t="str">
        <f>NOMINA!B7</f>
        <v>ALIAGA SAAVEDRA MARCU MAURICIO</v>
      </c>
      <c r="C7" s="215">
        <v>59</v>
      </c>
      <c r="D7" s="24"/>
      <c r="E7" s="24"/>
      <c r="F7" s="177">
        <f t="shared" si="0"/>
        <v>20</v>
      </c>
      <c r="G7" s="25"/>
    </row>
    <row r="8" spans="1:7">
      <c r="A8" s="26">
        <f>NOMINA!A8</f>
        <v>3</v>
      </c>
      <c r="B8" s="27" t="str">
        <f>NOMINA!B8</f>
        <v>ANTEZANA CACHI JOSE MAXWEL</v>
      </c>
      <c r="C8" s="215">
        <v>91</v>
      </c>
      <c r="D8" s="24"/>
      <c r="E8" s="24"/>
      <c r="F8" s="177">
        <f t="shared" si="0"/>
        <v>30</v>
      </c>
      <c r="G8" s="25"/>
    </row>
    <row r="9" spans="1:7">
      <c r="A9" s="26">
        <f>NOMINA!A9</f>
        <v>4</v>
      </c>
      <c r="B9" s="27" t="str">
        <f>NOMINA!B9</f>
        <v>ARIZACA SALGUERO SANTIAGO</v>
      </c>
      <c r="C9" s="215">
        <v>61</v>
      </c>
      <c r="D9" s="24"/>
      <c r="E9" s="24"/>
      <c r="F9" s="177">
        <f t="shared" si="0"/>
        <v>20</v>
      </c>
      <c r="G9" s="25"/>
    </row>
    <row r="10" spans="1:7">
      <c r="A10" s="26">
        <f>NOMINA!A10</f>
        <v>5</v>
      </c>
      <c r="B10" s="27" t="str">
        <f>NOMINA!B10</f>
        <v>BAUTISTA GARCIA ALISON LUCIANA</v>
      </c>
      <c r="C10" s="215">
        <v>58</v>
      </c>
      <c r="D10" s="24"/>
      <c r="E10" s="24"/>
      <c r="F10" s="177">
        <f t="shared" si="0"/>
        <v>19</v>
      </c>
      <c r="G10" s="25"/>
    </row>
    <row r="11" spans="1:7">
      <c r="A11" s="26">
        <f>NOMINA!A11</f>
        <v>6</v>
      </c>
      <c r="B11" s="27" t="str">
        <f>NOMINA!B11</f>
        <v>BOLIVAR REVOLLO NIVARDO ADOLFO</v>
      </c>
      <c r="C11" s="215">
        <v>46</v>
      </c>
      <c r="D11" s="24"/>
      <c r="E11" s="24"/>
      <c r="F11" s="177">
        <f t="shared" si="0"/>
        <v>15</v>
      </c>
      <c r="G11" s="25"/>
    </row>
    <row r="12" spans="1:7">
      <c r="A12" s="26">
        <f>NOMINA!A12</f>
        <v>7</v>
      </c>
      <c r="B12" s="27" t="str">
        <f>NOMINA!B12</f>
        <v>CADIMA SOLIZ NICOLAS</v>
      </c>
      <c r="C12" s="215">
        <v>46</v>
      </c>
      <c r="D12" s="24"/>
      <c r="E12" s="24"/>
      <c r="F12" s="177">
        <f t="shared" si="0"/>
        <v>15</v>
      </c>
      <c r="G12" s="25"/>
    </row>
    <row r="13" spans="1:7">
      <c r="A13" s="26">
        <f>NOMINA!A13</f>
        <v>8</v>
      </c>
      <c r="B13" s="27" t="str">
        <f>NOMINA!B13</f>
        <v>CALLE PEREZ ANDREA BELEN</v>
      </c>
      <c r="C13" s="215">
        <v>93</v>
      </c>
      <c r="D13" s="24"/>
      <c r="E13" s="24"/>
      <c r="F13" s="177">
        <f t="shared" si="0"/>
        <v>31</v>
      </c>
      <c r="G13" s="25"/>
    </row>
    <row r="14" spans="1:7">
      <c r="A14" s="26">
        <f>NOMINA!A14</f>
        <v>9</v>
      </c>
      <c r="B14" s="27" t="str">
        <f>NOMINA!B14</f>
        <v>CHAVEZ AMURRIO SEBASTIAN FABIAN</v>
      </c>
      <c r="C14" s="215">
        <v>49</v>
      </c>
      <c r="D14" s="24"/>
      <c r="E14" s="24"/>
      <c r="F14" s="177">
        <f t="shared" si="0"/>
        <v>16</v>
      </c>
      <c r="G14" s="25"/>
    </row>
    <row r="15" spans="1:7">
      <c r="A15" s="26">
        <f>NOMINA!A15</f>
        <v>10</v>
      </c>
      <c r="B15" s="27" t="str">
        <f>NOMINA!B15</f>
        <v>CHOQUE ARISPE YURIANA LUCIA</v>
      </c>
      <c r="C15" s="215">
        <v>52</v>
      </c>
      <c r="D15" s="24"/>
      <c r="E15" s="24"/>
      <c r="F15" s="177">
        <f t="shared" si="0"/>
        <v>17</v>
      </c>
      <c r="G15" s="25"/>
    </row>
    <row r="16" spans="1:7">
      <c r="A16" s="26">
        <f>NOMINA!A16</f>
        <v>11</v>
      </c>
      <c r="B16" s="27" t="str">
        <f>NOMINA!B16</f>
        <v>CHOQUE PERALTA JHOEL ELIAZAR</v>
      </c>
      <c r="C16" s="215">
        <v>83</v>
      </c>
      <c r="D16" s="24"/>
      <c r="E16" s="24"/>
      <c r="F16" s="177">
        <f t="shared" si="0"/>
        <v>28</v>
      </c>
      <c r="G16" s="25"/>
    </row>
    <row r="17" spans="1:7">
      <c r="A17" s="26">
        <f>NOMINA!A17</f>
        <v>12</v>
      </c>
      <c r="B17" s="27" t="str">
        <f>NOMINA!B17</f>
        <v>COPA RIVERO MARCIA MARCELA</v>
      </c>
      <c r="C17" s="215">
        <v>52</v>
      </c>
      <c r="D17" s="24"/>
      <c r="E17" s="24"/>
      <c r="F17" s="177">
        <f t="shared" si="0"/>
        <v>17</v>
      </c>
      <c r="G17" s="25"/>
    </row>
    <row r="18" spans="1:7">
      <c r="A18" s="26">
        <f>NOMINA!A18</f>
        <v>13</v>
      </c>
      <c r="B18" s="27" t="str">
        <f>NOMINA!B18</f>
        <v>CORIA URUÑO CHRISTOPER GABRIEL</v>
      </c>
      <c r="C18" s="215">
        <v>86</v>
      </c>
      <c r="D18" s="24"/>
      <c r="E18" s="24"/>
      <c r="F18" s="177">
        <f t="shared" si="0"/>
        <v>29</v>
      </c>
      <c r="G18" s="25"/>
    </row>
    <row r="19" spans="1:7">
      <c r="A19" s="26">
        <f>NOMINA!A19</f>
        <v>14</v>
      </c>
      <c r="B19" s="27" t="str">
        <f>NOMINA!B19</f>
        <v>FLORES BALLESTEROS LEANDRO FRANK</v>
      </c>
      <c r="C19" s="215">
        <v>73</v>
      </c>
      <c r="D19" s="24"/>
      <c r="E19" s="24"/>
      <c r="F19" s="177">
        <f t="shared" si="0"/>
        <v>24</v>
      </c>
      <c r="G19" s="25"/>
    </row>
    <row r="20" spans="1:7">
      <c r="A20" s="26">
        <f>NOMINA!A20</f>
        <v>15</v>
      </c>
      <c r="B20" s="27" t="str">
        <f>NOMINA!B20</f>
        <v>GONZALES MOLINA ARIANET BELEN</v>
      </c>
      <c r="C20" s="215">
        <v>88</v>
      </c>
      <c r="D20" s="24"/>
      <c r="E20" s="24"/>
      <c r="F20" s="177">
        <f t="shared" si="0"/>
        <v>29</v>
      </c>
      <c r="G20" s="25"/>
    </row>
    <row r="21" spans="1:7">
      <c r="A21" s="26">
        <f>NOMINA!A21</f>
        <v>16</v>
      </c>
      <c r="B21" s="27" t="str">
        <f>NOMINA!B21</f>
        <v>GUAQUIPA BECERRA NICOLAS ALEX</v>
      </c>
      <c r="C21" s="215">
        <v>83</v>
      </c>
      <c r="D21" s="24"/>
      <c r="E21" s="24"/>
      <c r="F21" s="177">
        <f t="shared" si="0"/>
        <v>28</v>
      </c>
      <c r="G21" s="25"/>
    </row>
    <row r="22" spans="1:7">
      <c r="A22" s="26">
        <f>NOMINA!A22</f>
        <v>17</v>
      </c>
      <c r="B22" s="27" t="str">
        <f>NOMINA!B22</f>
        <v>HUANQUIRI MAMANI JHOSMAR</v>
      </c>
      <c r="C22" s="215">
        <v>52</v>
      </c>
      <c r="D22" s="24"/>
      <c r="E22" s="24"/>
      <c r="F22" s="177">
        <f t="shared" si="0"/>
        <v>17</v>
      </c>
      <c r="G22" s="25"/>
    </row>
    <row r="23" spans="1:7">
      <c r="A23" s="26">
        <f>NOMINA!A23</f>
        <v>18</v>
      </c>
      <c r="B23" s="27" t="str">
        <f>NOMINA!B23</f>
        <v>JOVE ARNEZ ANDREA LUCIANA</v>
      </c>
      <c r="C23" s="215">
        <v>59</v>
      </c>
      <c r="D23" s="24"/>
      <c r="E23" s="24"/>
      <c r="F23" s="177">
        <f t="shared" si="0"/>
        <v>20</v>
      </c>
      <c r="G23" s="25"/>
    </row>
    <row r="24" spans="1:7">
      <c r="A24" s="26">
        <f>NOMINA!A24</f>
        <v>19</v>
      </c>
      <c r="B24" s="27" t="str">
        <f>NOMINA!B24</f>
        <v>LAFUENTE ORTUÑO VICTORIA VALENTINA</v>
      </c>
      <c r="C24" s="215">
        <v>46</v>
      </c>
      <c r="D24" s="24"/>
      <c r="E24" s="24"/>
      <c r="F24" s="177">
        <f t="shared" si="0"/>
        <v>15</v>
      </c>
      <c r="G24" s="25"/>
    </row>
    <row r="25" spans="1:7">
      <c r="A25" s="26">
        <f>NOMINA!A25</f>
        <v>20</v>
      </c>
      <c r="B25" s="27" t="str">
        <f>NOMINA!B25</f>
        <v>MAGNANI CANAVIRI JOSUE JHONATHAN</v>
      </c>
      <c r="C25" s="215">
        <v>59</v>
      </c>
      <c r="D25" s="24"/>
      <c r="E25" s="24"/>
      <c r="F25" s="177">
        <f t="shared" si="0"/>
        <v>20</v>
      </c>
      <c r="G25" s="25"/>
    </row>
    <row r="26" spans="1:7">
      <c r="A26" s="26">
        <f>NOMINA!A26</f>
        <v>21</v>
      </c>
      <c r="B26" s="27" t="str">
        <f>NOMINA!B26</f>
        <v>MERUVIA GUTIERREZ ASHLY SCARLETT</v>
      </c>
      <c r="C26" s="215">
        <v>98</v>
      </c>
      <c r="D26" s="24"/>
      <c r="E26" s="24"/>
      <c r="F26" s="177">
        <f t="shared" si="0"/>
        <v>33</v>
      </c>
      <c r="G26" s="25"/>
    </row>
    <row r="27" spans="1:7">
      <c r="A27" s="26">
        <f>NOMINA!A27</f>
        <v>22</v>
      </c>
      <c r="B27" s="27" t="str">
        <f>NOMINA!B27</f>
        <v>MONTAÑO QUILO BENJAMIN GONZALO</v>
      </c>
      <c r="C27" s="215">
        <v>48</v>
      </c>
      <c r="D27" s="24"/>
      <c r="E27" s="24"/>
      <c r="F27" s="177">
        <f t="shared" si="0"/>
        <v>16</v>
      </c>
      <c r="G27" s="25"/>
    </row>
    <row r="28" spans="1:7">
      <c r="A28" s="26">
        <f>NOMINA!A28</f>
        <v>23</v>
      </c>
      <c r="B28" s="27" t="str">
        <f>NOMINA!B28</f>
        <v>PANIAGUA VARGAS KEYLA</v>
      </c>
      <c r="C28" s="215">
        <v>54</v>
      </c>
      <c r="D28" s="24"/>
      <c r="E28" s="24"/>
      <c r="F28" s="177">
        <f t="shared" si="0"/>
        <v>18</v>
      </c>
      <c r="G28" s="25"/>
    </row>
    <row r="29" spans="1:7">
      <c r="A29" s="26">
        <f>NOMINA!A29</f>
        <v>24</v>
      </c>
      <c r="B29" s="27" t="str">
        <f>NOMINA!B29</f>
        <v>PATZI GUARACHI MARIA BELEN</v>
      </c>
      <c r="C29" s="215">
        <v>97</v>
      </c>
      <c r="D29" s="24"/>
      <c r="E29" s="24"/>
      <c r="F29" s="177">
        <f t="shared" si="0"/>
        <v>32</v>
      </c>
      <c r="G29" s="25"/>
    </row>
    <row r="30" spans="1:7">
      <c r="A30" s="26">
        <f>NOMINA!A30</f>
        <v>25</v>
      </c>
      <c r="B30" s="27" t="str">
        <f>NOMINA!B30</f>
        <v>QUENALLATA CESPEDES LUMAIDA YANISS</v>
      </c>
      <c r="C30" s="215">
        <v>53</v>
      </c>
      <c r="D30" s="24"/>
      <c r="E30" s="24"/>
      <c r="F30" s="177">
        <f t="shared" si="0"/>
        <v>18</v>
      </c>
      <c r="G30" s="25"/>
    </row>
    <row r="31" spans="1:7">
      <c r="A31" s="26">
        <f>NOMINA!A31</f>
        <v>26</v>
      </c>
      <c r="B31" s="27" t="str">
        <f>NOMINA!B31</f>
        <v>QUISPE ESCARZA CIELO</v>
      </c>
      <c r="C31" s="215">
        <v>49</v>
      </c>
      <c r="D31" s="24"/>
      <c r="E31" s="24"/>
      <c r="F31" s="177">
        <f t="shared" si="0"/>
        <v>16</v>
      </c>
      <c r="G31" s="25"/>
    </row>
    <row r="32" spans="1:7">
      <c r="A32" s="26">
        <f>NOMINA!A32</f>
        <v>27</v>
      </c>
      <c r="B32" s="27" t="str">
        <f>NOMINA!B32</f>
        <v>QUISPE MILAN ADRIAN ANTHONY</v>
      </c>
      <c r="C32" s="215">
        <v>62</v>
      </c>
      <c r="D32" s="24"/>
      <c r="E32" s="24"/>
      <c r="F32" s="177">
        <f t="shared" si="0"/>
        <v>21</v>
      </c>
      <c r="G32" s="25"/>
    </row>
    <row r="33" spans="1:7">
      <c r="A33" s="26">
        <f>NOMINA!A33</f>
        <v>28</v>
      </c>
      <c r="B33" s="27" t="str">
        <f>NOMINA!B33</f>
        <v>ROMAN TITO MATEO</v>
      </c>
      <c r="C33" s="215">
        <v>86</v>
      </c>
      <c r="D33" s="24"/>
      <c r="E33" s="24"/>
      <c r="F33" s="177">
        <f t="shared" si="0"/>
        <v>29</v>
      </c>
      <c r="G33" s="25"/>
    </row>
    <row r="34" spans="1:7">
      <c r="A34" s="26">
        <f>NOMINA!A34</f>
        <v>29</v>
      </c>
      <c r="B34" s="27" t="str">
        <f>NOMINA!B34</f>
        <v xml:space="preserve">SILES MAMANI JUSTIN ANGEL </v>
      </c>
      <c r="C34" s="215">
        <v>74</v>
      </c>
      <c r="D34" s="24"/>
      <c r="E34" s="24"/>
      <c r="F34" s="177">
        <f t="shared" si="0"/>
        <v>25</v>
      </c>
      <c r="G34" s="25"/>
    </row>
    <row r="35" spans="1:7">
      <c r="A35" s="26">
        <f>NOMINA!A35</f>
        <v>30</v>
      </c>
      <c r="B35" s="27" t="str">
        <f>NOMINA!B35</f>
        <v>TERAN COCA DIEGO NICOLAS</v>
      </c>
      <c r="C35" s="215">
        <v>71</v>
      </c>
      <c r="D35" s="24"/>
      <c r="E35" s="24"/>
      <c r="F35" s="177">
        <f t="shared" si="0"/>
        <v>24</v>
      </c>
      <c r="G35" s="25"/>
    </row>
    <row r="36" spans="1:7">
      <c r="A36" s="26">
        <f>NOMINA!A36</f>
        <v>31</v>
      </c>
      <c r="B36" s="27" t="str">
        <f>NOMINA!B36</f>
        <v>URIA LOPEZ SEBASTIAN ARIEL</v>
      </c>
      <c r="C36" s="215">
        <v>64</v>
      </c>
      <c r="D36" s="24"/>
      <c r="E36" s="24"/>
      <c r="F36" s="177">
        <f t="shared" si="0"/>
        <v>21</v>
      </c>
      <c r="G36" s="25"/>
    </row>
    <row r="37" spans="1:7">
      <c r="A37" s="26">
        <f>NOMINA!A37</f>
        <v>32</v>
      </c>
      <c r="B37" s="27" t="str">
        <f>NOMINA!B37</f>
        <v>VASQUEZ ESPINOZA JHONATAN YAYCOB</v>
      </c>
      <c r="C37" s="215">
        <v>68</v>
      </c>
      <c r="D37" s="24"/>
      <c r="E37" s="24"/>
      <c r="F37" s="177">
        <f t="shared" si="0"/>
        <v>23</v>
      </c>
      <c r="G37" s="25"/>
    </row>
    <row r="38" spans="1:7">
      <c r="A38" s="26">
        <f>NOMINA!A38</f>
        <v>33</v>
      </c>
      <c r="B38" s="27" t="str">
        <f>NOMINA!B38</f>
        <v>VEIZAGA LEDEZMA SEBASTIAN</v>
      </c>
      <c r="C38" s="215">
        <v>72</v>
      </c>
      <c r="D38" s="24"/>
      <c r="E38" s="24"/>
      <c r="F38" s="177">
        <f t="shared" si="0"/>
        <v>24</v>
      </c>
      <c r="G38" s="25"/>
    </row>
    <row r="39" spans="1:7">
      <c r="A39" s="26">
        <f>NOMINA!A39</f>
        <v>34</v>
      </c>
      <c r="B39" s="27" t="str">
        <f>NOMINA!B39</f>
        <v>VILLARROEL CUCHILLO HUGO SEBASTIAN</v>
      </c>
      <c r="C39" s="215">
        <v>49</v>
      </c>
      <c r="D39" s="24"/>
      <c r="E39" s="24"/>
      <c r="F39" s="177">
        <f t="shared" si="0"/>
        <v>16</v>
      </c>
      <c r="G39" s="25"/>
    </row>
    <row r="40" spans="1:7">
      <c r="A40" s="26">
        <f>NOMINA!A40</f>
        <v>35</v>
      </c>
      <c r="B40" s="27" t="str">
        <f>NOMINA!B40</f>
        <v>ZAMBRANA MENDEZ MIRCO ALEXANDER</v>
      </c>
      <c r="C40" s="215">
        <v>47</v>
      </c>
      <c r="D40" s="24"/>
      <c r="E40" s="24"/>
      <c r="F40" s="177">
        <f t="shared" si="0"/>
        <v>16</v>
      </c>
      <c r="G40" s="25"/>
    </row>
    <row r="41" spans="1:7">
      <c r="A41" s="26">
        <f>NOMINA!A41</f>
        <v>36</v>
      </c>
      <c r="B41" s="27">
        <f>NOMINA!B41</f>
        <v>0</v>
      </c>
      <c r="C41" s="215"/>
      <c r="D41" s="24"/>
      <c r="E41" s="24"/>
      <c r="F41" s="177" t="str">
        <f t="shared" si="0"/>
        <v xml:space="preserve"> </v>
      </c>
      <c r="G41" s="25"/>
    </row>
    <row r="42" spans="1:7">
      <c r="A42" s="26">
        <f>NOMINA!A42</f>
        <v>37</v>
      </c>
      <c r="B42" s="27">
        <f>NOMINA!B42</f>
        <v>0</v>
      </c>
      <c r="C42" s="215"/>
      <c r="D42" s="24"/>
      <c r="E42" s="24"/>
      <c r="F42" s="177" t="str">
        <f t="shared" si="0"/>
        <v xml:space="preserve"> </v>
      </c>
      <c r="G42" s="25"/>
    </row>
    <row r="43" spans="1:7">
      <c r="A43" s="26">
        <f>NOMINA!A43</f>
        <v>38</v>
      </c>
      <c r="B43" s="27">
        <f>NOMINA!B43</f>
        <v>0</v>
      </c>
      <c r="C43" s="215"/>
      <c r="D43" s="24"/>
      <c r="E43" s="24"/>
      <c r="F43" s="177" t="str">
        <f t="shared" si="0"/>
        <v xml:space="preserve"> </v>
      </c>
      <c r="G43" s="25"/>
    </row>
    <row r="44" spans="1:7">
      <c r="A44" s="26">
        <f>NOMINA!A44</f>
        <v>39</v>
      </c>
      <c r="B44" s="27">
        <f>NOMINA!B44</f>
        <v>0</v>
      </c>
      <c r="C44" s="215"/>
      <c r="D44" s="24"/>
      <c r="E44" s="24"/>
      <c r="F44" s="177" t="str">
        <f t="shared" si="0"/>
        <v xml:space="preserve"> </v>
      </c>
      <c r="G44" s="25"/>
    </row>
    <row r="45" spans="1:7">
      <c r="A45" s="26">
        <f>NOMINA!A45</f>
        <v>40</v>
      </c>
      <c r="B45" s="224">
        <f>NOMINA!B45</f>
        <v>0</v>
      </c>
      <c r="C45" s="218"/>
      <c r="D45" s="219"/>
      <c r="E45" s="219"/>
      <c r="F45" s="223" t="str">
        <f t="shared" si="0"/>
        <v xml:space="preserve"> </v>
      </c>
      <c r="G45" s="220"/>
    </row>
    <row r="46" spans="1:7">
      <c r="A46" s="26">
        <f>NOMINA!A46</f>
        <v>41</v>
      </c>
      <c r="B46" s="188">
        <f>NOMINA!B46</f>
        <v>0</v>
      </c>
      <c r="C46" s="225"/>
      <c r="D46" s="221"/>
      <c r="E46" s="221"/>
      <c r="F46" s="216" t="str">
        <f t="shared" si="0"/>
        <v xml:space="preserve"> </v>
      </c>
      <c r="G46" s="221"/>
    </row>
    <row r="47" spans="1:7">
      <c r="A47" s="26">
        <f>NOMINA!A47</f>
        <v>42</v>
      </c>
      <c r="B47" s="188">
        <f>NOMINA!B47</f>
        <v>0</v>
      </c>
      <c r="C47" s="221"/>
      <c r="D47" s="221"/>
      <c r="E47" s="221"/>
      <c r="F47" s="216" t="str">
        <f t="shared" si="0"/>
        <v xml:space="preserve"> </v>
      </c>
      <c r="G47" s="221"/>
    </row>
    <row r="48" spans="1:7">
      <c r="A48" s="26">
        <f>NOMINA!A48</f>
        <v>43</v>
      </c>
      <c r="B48" s="188">
        <f>NOMINA!B48</f>
        <v>0</v>
      </c>
      <c r="C48" s="221"/>
      <c r="D48" s="221"/>
      <c r="E48" s="221"/>
      <c r="F48" s="216" t="str">
        <f t="shared" si="0"/>
        <v xml:space="preserve"> </v>
      </c>
      <c r="G48" s="221"/>
    </row>
    <row r="49" spans="1:7">
      <c r="A49" s="26">
        <f>NOMINA!A49</f>
        <v>44</v>
      </c>
      <c r="B49" s="188">
        <f>NOMINA!B49</f>
        <v>0</v>
      </c>
      <c r="C49" s="221"/>
      <c r="D49" s="221"/>
      <c r="E49" s="221"/>
      <c r="F49" s="216" t="str">
        <f t="shared" si="0"/>
        <v xml:space="preserve"> </v>
      </c>
      <c r="G49" s="221"/>
    </row>
    <row r="50" spans="1:7">
      <c r="A50" s="26">
        <f>NOMINA!A50</f>
        <v>45</v>
      </c>
      <c r="B50" s="188">
        <f>NOMINA!B50</f>
        <v>0</v>
      </c>
      <c r="C50" s="221"/>
      <c r="D50" s="221"/>
      <c r="E50" s="221"/>
      <c r="F50" s="216" t="str">
        <f t="shared" si="0"/>
        <v xml:space="preserve"> </v>
      </c>
      <c r="G50" s="221"/>
    </row>
  </sheetData>
  <protectedRanges>
    <protectedRange sqref="G6:G45 D6:E45" name="Rango1"/>
  </protectedRanges>
  <customSheetViews>
    <customSheetView guid="{2AA0188C-879C-4D95-82F5-15F4B34AA912}">
      <selection activeCell="U6" sqref="U6"/>
      <pageMargins left="0.7" right="0.7" top="0.75" bottom="0.75" header="0.3" footer="0.3"/>
    </customSheetView>
  </customSheetViews>
  <mergeCells count="4">
    <mergeCell ref="F4:G4"/>
    <mergeCell ref="A4:A5"/>
    <mergeCell ref="B4:B5"/>
    <mergeCell ref="D2:F2"/>
  </mergeCells>
  <conditionalFormatting sqref="C6:F50">
    <cfRule type="cellIs" dxfId="31" priority="3" operator="lessThan">
      <formula>35</formula>
    </cfRule>
    <cfRule type="cellIs" dxfId="30" priority="4" operator="lessThan">
      <formula>51</formula>
    </cfRule>
  </conditionalFormatting>
  <dataValidations count="1">
    <dataValidation type="decimal" allowBlank="1" showInputMessage="1" showErrorMessage="1" sqref="C6:C46" xr:uid="{00000000-0002-0000-0700-000000000000}">
      <formula1>35</formula1>
      <formula2>100</formula2>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9">
    <tabColor theme="3" tint="0.39997558519241921"/>
  </sheetPr>
  <dimension ref="A1:G50"/>
  <sheetViews>
    <sheetView topLeftCell="A28" workbookViewId="0">
      <selection activeCell="C6" sqref="C6:C40"/>
    </sheetView>
  </sheetViews>
  <sheetFormatPr defaultColWidth="11.42578125" defaultRowHeight="15"/>
  <cols>
    <col min="1" max="1" width="4.28515625" customWidth="1"/>
    <col min="2" max="2" width="45.140625" bestFit="1" customWidth="1"/>
    <col min="3" max="6" width="8.7109375" customWidth="1"/>
    <col min="7" max="7" width="15.5703125" customWidth="1"/>
  </cols>
  <sheetData>
    <row r="1" spans="1:7">
      <c r="A1" s="18"/>
      <c r="B1" s="18"/>
      <c r="C1" s="18"/>
      <c r="D1" s="18"/>
      <c r="E1" s="18"/>
      <c r="F1" s="18"/>
      <c r="G1" s="18"/>
    </row>
    <row r="2" spans="1:7" ht="18.75">
      <c r="A2" s="19"/>
      <c r="B2" s="20" t="str">
        <f>NOMINA!$B$2</f>
        <v>CURSO 2A</v>
      </c>
      <c r="C2" s="268" t="s">
        <v>99</v>
      </c>
      <c r="D2" s="268"/>
      <c r="E2" s="268"/>
      <c r="F2" s="268"/>
      <c r="G2" s="268"/>
    </row>
    <row r="3" spans="1:7" ht="15.75" thickBot="1">
      <c r="A3" s="18"/>
      <c r="B3" s="18"/>
      <c r="C3" s="18"/>
      <c r="D3" s="18"/>
      <c r="E3" s="18"/>
      <c r="F3" s="18"/>
      <c r="G3" s="18"/>
    </row>
    <row r="4" spans="1:7" ht="15.75" customHeight="1" thickBot="1">
      <c r="A4" s="264" t="s">
        <v>0</v>
      </c>
      <c r="B4" s="266" t="s">
        <v>1</v>
      </c>
      <c r="C4" s="173" t="s">
        <v>81</v>
      </c>
      <c r="D4" s="173" t="s">
        <v>82</v>
      </c>
      <c r="E4" s="173" t="s">
        <v>83</v>
      </c>
      <c r="F4" s="262" t="s">
        <v>32</v>
      </c>
      <c r="G4" s="263"/>
    </row>
    <row r="5" spans="1:7" ht="44.25" customHeight="1">
      <c r="A5" s="265"/>
      <c r="B5" s="267"/>
      <c r="C5" s="174" t="s">
        <v>33</v>
      </c>
      <c r="D5" s="174" t="s">
        <v>33</v>
      </c>
      <c r="E5" s="174" t="s">
        <v>33</v>
      </c>
      <c r="F5" s="175" t="s">
        <v>34</v>
      </c>
      <c r="G5" s="176" t="s">
        <v>80</v>
      </c>
    </row>
    <row r="6" spans="1:7">
      <c r="A6" s="26">
        <f>NOMINA!A6</f>
        <v>1</v>
      </c>
      <c r="B6" s="27" t="str">
        <f>NOMINA!B6</f>
        <v>ABREU MARRERO LIZ DANIELA</v>
      </c>
      <c r="C6" s="24">
        <v>66</v>
      </c>
      <c r="D6" s="24"/>
      <c r="E6" s="24"/>
      <c r="F6" s="177">
        <f>IF(ROUND((C6+D6+E6)/3,0)&gt;0,ROUND((C6+D6+E6)/3,0)," ")</f>
        <v>22</v>
      </c>
      <c r="G6" s="25"/>
    </row>
    <row r="7" spans="1:7">
      <c r="A7" s="26">
        <f>NOMINA!A7</f>
        <v>2</v>
      </c>
      <c r="B7" s="27" t="str">
        <f>NOMINA!B7</f>
        <v>ALIAGA SAAVEDRA MARCU MAURICIO</v>
      </c>
      <c r="C7" s="24">
        <v>63</v>
      </c>
      <c r="D7" s="24"/>
      <c r="E7" s="24"/>
      <c r="F7" s="177">
        <f t="shared" ref="F7:F50" si="0">IF(ROUND((C7+D7+E7)/3,0)&gt;0,ROUND((C7+D7+E7)/3,0)," ")</f>
        <v>21</v>
      </c>
      <c r="G7" s="25"/>
    </row>
    <row r="8" spans="1:7">
      <c r="A8" s="26">
        <f>NOMINA!A8</f>
        <v>3</v>
      </c>
      <c r="B8" s="27" t="str">
        <f>NOMINA!B8</f>
        <v>ANTEZANA CACHI JOSE MAXWEL</v>
      </c>
      <c r="C8" s="24">
        <v>65</v>
      </c>
      <c r="D8" s="24"/>
      <c r="E8" s="24"/>
      <c r="F8" s="177">
        <f t="shared" si="0"/>
        <v>22</v>
      </c>
      <c r="G8" s="25"/>
    </row>
    <row r="9" spans="1:7">
      <c r="A9" s="26">
        <f>NOMINA!A9</f>
        <v>4</v>
      </c>
      <c r="B9" s="27" t="str">
        <f>NOMINA!B9</f>
        <v>ARIZACA SALGUERO SANTIAGO</v>
      </c>
      <c r="C9" s="24">
        <v>68</v>
      </c>
      <c r="D9" s="24"/>
      <c r="E9" s="24"/>
      <c r="F9" s="177">
        <f t="shared" si="0"/>
        <v>23</v>
      </c>
      <c r="G9" s="25"/>
    </row>
    <row r="10" spans="1:7">
      <c r="A10" s="26">
        <f>NOMINA!A10</f>
        <v>5</v>
      </c>
      <c r="B10" s="27" t="str">
        <f>NOMINA!B10</f>
        <v>BAUTISTA GARCIA ALISON LUCIANA</v>
      </c>
      <c r="C10" s="24">
        <v>71</v>
      </c>
      <c r="D10" s="24"/>
      <c r="E10" s="24"/>
      <c r="F10" s="177">
        <f t="shared" si="0"/>
        <v>24</v>
      </c>
      <c r="G10" s="25"/>
    </row>
    <row r="11" spans="1:7">
      <c r="A11" s="26">
        <f>NOMINA!A11</f>
        <v>6</v>
      </c>
      <c r="B11" s="27" t="str">
        <f>NOMINA!B11</f>
        <v>BOLIVAR REVOLLO NIVARDO ADOLFO</v>
      </c>
      <c r="C11" s="24">
        <v>66</v>
      </c>
      <c r="D11" s="24"/>
      <c r="E11" s="24"/>
      <c r="F11" s="177">
        <f t="shared" si="0"/>
        <v>22</v>
      </c>
      <c r="G11" s="25"/>
    </row>
    <row r="12" spans="1:7">
      <c r="A12" s="26">
        <f>NOMINA!A12</f>
        <v>7</v>
      </c>
      <c r="B12" s="27" t="str">
        <f>NOMINA!B12</f>
        <v>CADIMA SOLIZ NICOLAS</v>
      </c>
      <c r="C12" s="24">
        <v>57</v>
      </c>
      <c r="D12" s="24"/>
      <c r="E12" s="24"/>
      <c r="F12" s="177">
        <f t="shared" si="0"/>
        <v>19</v>
      </c>
      <c r="G12" s="25"/>
    </row>
    <row r="13" spans="1:7">
      <c r="A13" s="26">
        <f>NOMINA!A13</f>
        <v>8</v>
      </c>
      <c r="B13" s="27" t="str">
        <f>NOMINA!B13</f>
        <v>CALLE PEREZ ANDREA BELEN</v>
      </c>
      <c r="C13" s="24">
        <v>79</v>
      </c>
      <c r="D13" s="24"/>
      <c r="E13" s="24"/>
      <c r="F13" s="177">
        <f t="shared" si="0"/>
        <v>26</v>
      </c>
      <c r="G13" s="25"/>
    </row>
    <row r="14" spans="1:7">
      <c r="A14" s="26">
        <f>NOMINA!A14</f>
        <v>9</v>
      </c>
      <c r="B14" s="27" t="str">
        <f>NOMINA!B14</f>
        <v>CHAVEZ AMURRIO SEBASTIAN FABIAN</v>
      </c>
      <c r="C14" s="24">
        <v>44</v>
      </c>
      <c r="D14" s="24"/>
      <c r="E14" s="24"/>
      <c r="F14" s="177">
        <f t="shared" si="0"/>
        <v>15</v>
      </c>
      <c r="G14" s="25"/>
    </row>
    <row r="15" spans="1:7">
      <c r="A15" s="26">
        <f>NOMINA!A15</f>
        <v>10</v>
      </c>
      <c r="B15" s="27" t="str">
        <f>NOMINA!B15</f>
        <v>CHOQUE ARISPE YURIANA LUCIA</v>
      </c>
      <c r="C15" s="24">
        <v>67</v>
      </c>
      <c r="D15" s="24"/>
      <c r="E15" s="24"/>
      <c r="F15" s="177">
        <f t="shared" si="0"/>
        <v>22</v>
      </c>
      <c r="G15" s="25"/>
    </row>
    <row r="16" spans="1:7">
      <c r="A16" s="26">
        <f>NOMINA!A16</f>
        <v>11</v>
      </c>
      <c r="B16" s="27" t="str">
        <f>NOMINA!B16</f>
        <v>CHOQUE PERALTA JHOEL ELIAZAR</v>
      </c>
      <c r="C16" s="24">
        <v>65</v>
      </c>
      <c r="D16" s="24"/>
      <c r="E16" s="24"/>
      <c r="F16" s="177">
        <f t="shared" si="0"/>
        <v>22</v>
      </c>
      <c r="G16" s="25"/>
    </row>
    <row r="17" spans="1:7">
      <c r="A17" s="26">
        <f>NOMINA!A17</f>
        <v>12</v>
      </c>
      <c r="B17" s="27" t="str">
        <f>NOMINA!B17</f>
        <v>COPA RIVERO MARCIA MARCELA</v>
      </c>
      <c r="C17" s="24">
        <v>56</v>
      </c>
      <c r="D17" s="24"/>
      <c r="E17" s="24"/>
      <c r="F17" s="177">
        <f t="shared" si="0"/>
        <v>19</v>
      </c>
      <c r="G17" s="25"/>
    </row>
    <row r="18" spans="1:7">
      <c r="A18" s="26">
        <f>NOMINA!A18</f>
        <v>13</v>
      </c>
      <c r="B18" s="27" t="str">
        <f>NOMINA!B18</f>
        <v>CORIA URUÑO CHRISTOPER GABRIEL</v>
      </c>
      <c r="C18" s="24">
        <v>68</v>
      </c>
      <c r="D18" s="24"/>
      <c r="E18" s="24"/>
      <c r="F18" s="177">
        <f t="shared" si="0"/>
        <v>23</v>
      </c>
      <c r="G18" s="25"/>
    </row>
    <row r="19" spans="1:7">
      <c r="A19" s="26">
        <f>NOMINA!A19</f>
        <v>14</v>
      </c>
      <c r="B19" s="27" t="str">
        <f>NOMINA!B19</f>
        <v>FLORES BALLESTEROS LEANDRO FRANK</v>
      </c>
      <c r="C19" s="24">
        <v>69</v>
      </c>
      <c r="D19" s="24"/>
      <c r="E19" s="24"/>
      <c r="F19" s="177">
        <f t="shared" si="0"/>
        <v>23</v>
      </c>
      <c r="G19" s="25"/>
    </row>
    <row r="20" spans="1:7">
      <c r="A20" s="26">
        <f>NOMINA!A20</f>
        <v>15</v>
      </c>
      <c r="B20" s="27" t="str">
        <f>NOMINA!B20</f>
        <v>GONZALES MOLINA ARIANET BELEN</v>
      </c>
      <c r="C20" s="24">
        <v>86</v>
      </c>
      <c r="D20" s="24"/>
      <c r="E20" s="24"/>
      <c r="F20" s="177">
        <f t="shared" si="0"/>
        <v>29</v>
      </c>
      <c r="G20" s="25"/>
    </row>
    <row r="21" spans="1:7">
      <c r="A21" s="26">
        <f>NOMINA!A21</f>
        <v>16</v>
      </c>
      <c r="B21" s="27" t="str">
        <f>NOMINA!B21</f>
        <v>GUAQUIPA BECERRA NICOLAS ALEX</v>
      </c>
      <c r="C21" s="24">
        <v>71</v>
      </c>
      <c r="D21" s="24"/>
      <c r="E21" s="24"/>
      <c r="F21" s="177">
        <f t="shared" si="0"/>
        <v>24</v>
      </c>
      <c r="G21" s="25"/>
    </row>
    <row r="22" spans="1:7">
      <c r="A22" s="26">
        <f>NOMINA!A22</f>
        <v>17</v>
      </c>
      <c r="B22" s="27" t="str">
        <f>NOMINA!B22</f>
        <v>HUANQUIRI MAMANI JHOSMAR</v>
      </c>
      <c r="C22" s="24">
        <v>47</v>
      </c>
      <c r="D22" s="24"/>
      <c r="E22" s="24"/>
      <c r="F22" s="177">
        <f t="shared" si="0"/>
        <v>16</v>
      </c>
      <c r="G22" s="25"/>
    </row>
    <row r="23" spans="1:7">
      <c r="A23" s="26">
        <f>NOMINA!A23</f>
        <v>18</v>
      </c>
      <c r="B23" s="27" t="str">
        <f>NOMINA!B23</f>
        <v>JOVE ARNEZ ANDREA LUCIANA</v>
      </c>
      <c r="C23" s="24">
        <v>66</v>
      </c>
      <c r="D23" s="24"/>
      <c r="E23" s="24"/>
      <c r="F23" s="177">
        <f t="shared" si="0"/>
        <v>22</v>
      </c>
      <c r="G23" s="25"/>
    </row>
    <row r="24" spans="1:7">
      <c r="A24" s="26">
        <f>NOMINA!A24</f>
        <v>19</v>
      </c>
      <c r="B24" s="27" t="str">
        <f>NOMINA!B24</f>
        <v>LAFUENTE ORTUÑO VICTORIA VALENTINA</v>
      </c>
      <c r="C24" s="24">
        <v>56</v>
      </c>
      <c r="D24" s="24"/>
      <c r="E24" s="24"/>
      <c r="F24" s="177">
        <f t="shared" si="0"/>
        <v>19</v>
      </c>
      <c r="G24" s="25"/>
    </row>
    <row r="25" spans="1:7">
      <c r="A25" s="26">
        <f>NOMINA!A25</f>
        <v>20</v>
      </c>
      <c r="B25" s="27" t="str">
        <f>NOMINA!B25</f>
        <v>MAGNANI CANAVIRI JOSUE JHONATHAN</v>
      </c>
      <c r="C25" s="24">
        <v>60</v>
      </c>
      <c r="D25" s="24"/>
      <c r="E25" s="24"/>
      <c r="F25" s="177">
        <f t="shared" si="0"/>
        <v>20</v>
      </c>
      <c r="G25" s="25"/>
    </row>
    <row r="26" spans="1:7">
      <c r="A26" s="26">
        <f>NOMINA!A26</f>
        <v>21</v>
      </c>
      <c r="B26" s="27" t="str">
        <f>NOMINA!B26</f>
        <v>MERUVIA GUTIERREZ ASHLY SCARLETT</v>
      </c>
      <c r="C26" s="24">
        <v>94</v>
      </c>
      <c r="D26" s="24"/>
      <c r="E26" s="24"/>
      <c r="F26" s="177">
        <f t="shared" si="0"/>
        <v>31</v>
      </c>
      <c r="G26" s="25"/>
    </row>
    <row r="27" spans="1:7">
      <c r="A27" s="26">
        <f>NOMINA!A27</f>
        <v>22</v>
      </c>
      <c r="B27" s="27" t="str">
        <f>NOMINA!B27</f>
        <v>MONTAÑO QUILO BENJAMIN GONZALO</v>
      </c>
      <c r="C27" s="24">
        <v>55</v>
      </c>
      <c r="D27" s="24"/>
      <c r="E27" s="24"/>
      <c r="F27" s="177">
        <f t="shared" si="0"/>
        <v>18</v>
      </c>
      <c r="G27" s="25"/>
    </row>
    <row r="28" spans="1:7">
      <c r="A28" s="26">
        <f>NOMINA!A28</f>
        <v>23</v>
      </c>
      <c r="B28" s="27" t="str">
        <f>NOMINA!B28</f>
        <v>PANIAGUA VARGAS KEYLA</v>
      </c>
      <c r="C28" s="24">
        <v>60</v>
      </c>
      <c r="D28" s="24"/>
      <c r="E28" s="24"/>
      <c r="F28" s="177">
        <f t="shared" si="0"/>
        <v>20</v>
      </c>
      <c r="G28" s="25"/>
    </row>
    <row r="29" spans="1:7">
      <c r="A29" s="26">
        <f>NOMINA!A29</f>
        <v>24</v>
      </c>
      <c r="B29" s="27" t="str">
        <f>NOMINA!B29</f>
        <v>PATZI GUARACHI MARIA BELEN</v>
      </c>
      <c r="C29" s="24">
        <v>75</v>
      </c>
      <c r="D29" s="24"/>
      <c r="E29" s="24"/>
      <c r="F29" s="177">
        <f t="shared" si="0"/>
        <v>25</v>
      </c>
      <c r="G29" s="25"/>
    </row>
    <row r="30" spans="1:7">
      <c r="A30" s="26">
        <f>NOMINA!A30</f>
        <v>25</v>
      </c>
      <c r="B30" s="27" t="str">
        <f>NOMINA!B30</f>
        <v>QUENALLATA CESPEDES LUMAIDA YANISS</v>
      </c>
      <c r="C30" s="24">
        <v>64</v>
      </c>
      <c r="D30" s="24"/>
      <c r="E30" s="24"/>
      <c r="F30" s="177">
        <f t="shared" si="0"/>
        <v>21</v>
      </c>
      <c r="G30" s="25"/>
    </row>
    <row r="31" spans="1:7">
      <c r="A31" s="26">
        <f>NOMINA!A31</f>
        <v>26</v>
      </c>
      <c r="B31" s="27" t="str">
        <f>NOMINA!B31</f>
        <v>QUISPE ESCARZA CIELO</v>
      </c>
      <c r="C31" s="24">
        <v>39</v>
      </c>
      <c r="D31" s="24"/>
      <c r="E31" s="24"/>
      <c r="F31" s="177">
        <f t="shared" si="0"/>
        <v>13</v>
      </c>
      <c r="G31" s="25"/>
    </row>
    <row r="32" spans="1:7">
      <c r="A32" s="26">
        <f>NOMINA!A32</f>
        <v>27</v>
      </c>
      <c r="B32" s="27" t="str">
        <f>NOMINA!B32</f>
        <v>QUISPE MILAN ADRIAN ANTHONY</v>
      </c>
      <c r="C32" s="24">
        <v>75</v>
      </c>
      <c r="D32" s="24"/>
      <c r="E32" s="24"/>
      <c r="F32" s="177">
        <f t="shared" si="0"/>
        <v>25</v>
      </c>
      <c r="G32" s="25"/>
    </row>
    <row r="33" spans="1:7">
      <c r="A33" s="26">
        <f>NOMINA!A33</f>
        <v>28</v>
      </c>
      <c r="B33" s="27" t="str">
        <f>NOMINA!B33</f>
        <v>ROMAN TITO MATEO</v>
      </c>
      <c r="C33" s="24">
        <v>82</v>
      </c>
      <c r="D33" s="24"/>
      <c r="E33" s="24"/>
      <c r="F33" s="177">
        <f t="shared" si="0"/>
        <v>27</v>
      </c>
      <c r="G33" s="25"/>
    </row>
    <row r="34" spans="1:7">
      <c r="A34" s="26">
        <f>NOMINA!A34</f>
        <v>29</v>
      </c>
      <c r="B34" s="27" t="str">
        <f>NOMINA!B34</f>
        <v xml:space="preserve">SILES MAMANI JUSTIN ANGEL </v>
      </c>
      <c r="C34" s="24">
        <v>67</v>
      </c>
      <c r="D34" s="24"/>
      <c r="E34" s="24"/>
      <c r="F34" s="177">
        <f t="shared" si="0"/>
        <v>22</v>
      </c>
      <c r="G34" s="25"/>
    </row>
    <row r="35" spans="1:7">
      <c r="A35" s="26">
        <f>NOMINA!A35</f>
        <v>30</v>
      </c>
      <c r="B35" s="27" t="str">
        <f>NOMINA!B35</f>
        <v>TERAN COCA DIEGO NICOLAS</v>
      </c>
      <c r="C35" s="24">
        <v>58</v>
      </c>
      <c r="D35" s="24"/>
      <c r="E35" s="24"/>
      <c r="F35" s="177">
        <f t="shared" si="0"/>
        <v>19</v>
      </c>
      <c r="G35" s="25"/>
    </row>
    <row r="36" spans="1:7">
      <c r="A36" s="26">
        <f>NOMINA!A36</f>
        <v>31</v>
      </c>
      <c r="B36" s="27" t="str">
        <f>NOMINA!B36</f>
        <v>URIA LOPEZ SEBASTIAN ARIEL</v>
      </c>
      <c r="C36" s="24">
        <v>60</v>
      </c>
      <c r="D36" s="24"/>
      <c r="E36" s="24"/>
      <c r="F36" s="177">
        <f t="shared" si="0"/>
        <v>20</v>
      </c>
      <c r="G36" s="25"/>
    </row>
    <row r="37" spans="1:7">
      <c r="A37" s="26">
        <f>NOMINA!A37</f>
        <v>32</v>
      </c>
      <c r="B37" s="27" t="str">
        <f>NOMINA!B37</f>
        <v>VASQUEZ ESPINOZA JHONATAN YAYCOB</v>
      </c>
      <c r="C37" s="24">
        <v>78</v>
      </c>
      <c r="D37" s="24"/>
      <c r="E37" s="24"/>
      <c r="F37" s="177">
        <f t="shared" si="0"/>
        <v>26</v>
      </c>
      <c r="G37" s="25"/>
    </row>
    <row r="38" spans="1:7">
      <c r="A38" s="26">
        <f>NOMINA!A38</f>
        <v>33</v>
      </c>
      <c r="B38" s="27" t="str">
        <f>NOMINA!B38</f>
        <v>VEIZAGA LEDEZMA SEBASTIAN</v>
      </c>
      <c r="C38" s="24">
        <v>65</v>
      </c>
      <c r="D38" s="24"/>
      <c r="E38" s="24"/>
      <c r="F38" s="177">
        <f t="shared" si="0"/>
        <v>22</v>
      </c>
      <c r="G38" s="25"/>
    </row>
    <row r="39" spans="1:7">
      <c r="A39" s="26">
        <f>NOMINA!A39</f>
        <v>34</v>
      </c>
      <c r="B39" s="27" t="str">
        <f>NOMINA!B39</f>
        <v>VILLARROEL CUCHILLO HUGO SEBASTIAN</v>
      </c>
      <c r="C39" s="24">
        <v>54</v>
      </c>
      <c r="D39" s="24"/>
      <c r="E39" s="24"/>
      <c r="F39" s="177">
        <f t="shared" si="0"/>
        <v>18</v>
      </c>
      <c r="G39" s="25"/>
    </row>
    <row r="40" spans="1:7">
      <c r="A40" s="26">
        <f>NOMINA!A40</f>
        <v>35</v>
      </c>
      <c r="B40" s="27" t="str">
        <f>NOMINA!B40</f>
        <v>ZAMBRANA MENDEZ MIRCO ALEXANDER</v>
      </c>
      <c r="C40" s="24">
        <v>43</v>
      </c>
      <c r="D40" s="24"/>
      <c r="E40" s="24"/>
      <c r="F40" s="177">
        <f t="shared" si="0"/>
        <v>14</v>
      </c>
      <c r="G40" s="25"/>
    </row>
    <row r="41" spans="1:7">
      <c r="A41" s="26">
        <f>NOMINA!A41</f>
        <v>36</v>
      </c>
      <c r="B41" s="27">
        <f>NOMINA!B41</f>
        <v>0</v>
      </c>
      <c r="C41" s="24"/>
      <c r="D41" s="24"/>
      <c r="E41" s="24"/>
      <c r="F41" s="177" t="str">
        <f t="shared" si="0"/>
        <v xml:space="preserve"> </v>
      </c>
      <c r="G41" s="25"/>
    </row>
    <row r="42" spans="1:7">
      <c r="A42" s="26">
        <f>NOMINA!A42</f>
        <v>37</v>
      </c>
      <c r="B42" s="27">
        <f>NOMINA!B42</f>
        <v>0</v>
      </c>
      <c r="C42" s="24"/>
      <c r="D42" s="24"/>
      <c r="E42" s="24"/>
      <c r="F42" s="177" t="str">
        <f t="shared" si="0"/>
        <v xml:space="preserve"> </v>
      </c>
      <c r="G42" s="25"/>
    </row>
    <row r="43" spans="1:7">
      <c r="A43" s="26">
        <f>NOMINA!A43</f>
        <v>38</v>
      </c>
      <c r="B43" s="27">
        <f>NOMINA!B43</f>
        <v>0</v>
      </c>
      <c r="C43" s="24"/>
      <c r="D43" s="24"/>
      <c r="E43" s="24"/>
      <c r="F43" s="177" t="str">
        <f t="shared" si="0"/>
        <v xml:space="preserve"> </v>
      </c>
      <c r="G43" s="25"/>
    </row>
    <row r="44" spans="1:7">
      <c r="A44" s="26">
        <f>NOMINA!A44</f>
        <v>39</v>
      </c>
      <c r="B44" s="27">
        <f>NOMINA!B44</f>
        <v>0</v>
      </c>
      <c r="C44" s="24"/>
      <c r="D44" s="24"/>
      <c r="E44" s="24"/>
      <c r="F44" s="177" t="str">
        <f t="shared" si="0"/>
        <v xml:space="preserve"> </v>
      </c>
      <c r="G44" s="25"/>
    </row>
    <row r="45" spans="1:7">
      <c r="A45" s="226">
        <f>NOMINA!A45</f>
        <v>40</v>
      </c>
      <c r="B45" s="224">
        <f>NOMINA!B45</f>
        <v>0</v>
      </c>
      <c r="C45" s="219"/>
      <c r="D45" s="219"/>
      <c r="E45" s="219"/>
      <c r="F45" s="223" t="str">
        <f t="shared" si="0"/>
        <v xml:space="preserve"> </v>
      </c>
      <c r="G45" s="220"/>
    </row>
    <row r="46" spans="1:7">
      <c r="A46" s="227">
        <f>NOMINA!A46</f>
        <v>41</v>
      </c>
      <c r="B46" s="188">
        <f>NOMINA!B46</f>
        <v>0</v>
      </c>
      <c r="C46" s="221"/>
      <c r="D46" s="221"/>
      <c r="E46" s="221"/>
      <c r="F46" s="216" t="str">
        <f>IF(ROUND((C46+D46+E46)/3,0)&gt;0,ROUND((C46+D46+E46)/3,0)," ")</f>
        <v xml:space="preserve"> </v>
      </c>
      <c r="G46" s="221"/>
    </row>
    <row r="47" spans="1:7">
      <c r="A47" s="227">
        <f>NOMINA!A47</f>
        <v>42</v>
      </c>
      <c r="B47" s="188">
        <f>NOMINA!B47</f>
        <v>0</v>
      </c>
      <c r="C47" s="221"/>
      <c r="D47" s="221"/>
      <c r="E47" s="221"/>
      <c r="F47" s="216" t="str">
        <f t="shared" si="0"/>
        <v xml:space="preserve"> </v>
      </c>
      <c r="G47" s="221"/>
    </row>
    <row r="48" spans="1:7">
      <c r="A48" s="227">
        <f>NOMINA!A48</f>
        <v>43</v>
      </c>
      <c r="B48" s="188">
        <f>NOMINA!B48</f>
        <v>0</v>
      </c>
      <c r="C48" s="221"/>
      <c r="D48" s="221"/>
      <c r="E48" s="221"/>
      <c r="F48" s="216" t="str">
        <f t="shared" si="0"/>
        <v xml:space="preserve"> </v>
      </c>
      <c r="G48" s="221"/>
    </row>
    <row r="49" spans="1:7">
      <c r="A49" s="227">
        <f>NOMINA!A49</f>
        <v>44</v>
      </c>
      <c r="B49" s="188">
        <f>NOMINA!B49</f>
        <v>0</v>
      </c>
      <c r="C49" s="221"/>
      <c r="D49" s="221"/>
      <c r="E49" s="221"/>
      <c r="F49" s="216" t="str">
        <f t="shared" si="0"/>
        <v xml:space="preserve"> </v>
      </c>
      <c r="G49" s="221"/>
    </row>
    <row r="50" spans="1:7">
      <c r="A50" s="227">
        <f>NOMINA!A50</f>
        <v>45</v>
      </c>
      <c r="B50" s="188">
        <f>NOMINA!B50</f>
        <v>0</v>
      </c>
      <c r="C50" s="221"/>
      <c r="D50" s="221"/>
      <c r="E50" s="221"/>
      <c r="F50" s="216" t="str">
        <f t="shared" si="0"/>
        <v xml:space="preserve"> </v>
      </c>
      <c r="G50" s="221"/>
    </row>
  </sheetData>
  <protectedRanges>
    <protectedRange sqref="G6:G45 C6:E45" name="Rango1"/>
  </protectedRanges>
  <customSheetViews>
    <customSheetView guid="{2AA0188C-879C-4D95-82F5-15F4B34AA912}">
      <selection activeCell="R23" sqref="R23"/>
      <pageMargins left="0.7" right="0.7" top="0.75" bottom="0.75" header="0.3" footer="0.3"/>
    </customSheetView>
  </customSheetViews>
  <mergeCells count="4">
    <mergeCell ref="F4:G4"/>
    <mergeCell ref="A4:A5"/>
    <mergeCell ref="B4:B5"/>
    <mergeCell ref="C2:G2"/>
  </mergeCells>
  <conditionalFormatting sqref="C6:F50">
    <cfRule type="cellIs" dxfId="29" priority="1" operator="lessThan">
      <formula>35</formula>
    </cfRule>
    <cfRule type="cellIs" dxfId="28" priority="2" operator="lessThan">
      <formula>51</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10">
    <tabColor rgb="FF7030A0"/>
  </sheetPr>
  <dimension ref="A1:G50"/>
  <sheetViews>
    <sheetView workbookViewId="0">
      <selection activeCell="E42" sqref="E42"/>
    </sheetView>
  </sheetViews>
  <sheetFormatPr defaultColWidth="11.42578125" defaultRowHeight="15"/>
  <cols>
    <col min="1" max="1" width="4.28515625" customWidth="1"/>
    <col min="2" max="2" width="45.140625" bestFit="1" customWidth="1"/>
    <col min="3" max="6" width="8.7109375" customWidth="1"/>
    <col min="7" max="7" width="15.5703125" customWidth="1"/>
  </cols>
  <sheetData>
    <row r="1" spans="1:7">
      <c r="A1" s="18"/>
      <c r="B1" s="18"/>
      <c r="C1" s="18"/>
      <c r="D1" s="18"/>
      <c r="E1" s="18"/>
      <c r="F1" s="18"/>
      <c r="G1" s="18"/>
    </row>
    <row r="2" spans="1:7" ht="18.75" customHeight="1">
      <c r="A2" s="19"/>
      <c r="B2" s="20" t="str">
        <f>NOMINA!$B$2</f>
        <v>CURSO 2A</v>
      </c>
      <c r="C2" s="268" t="s">
        <v>100</v>
      </c>
      <c r="D2" s="268"/>
      <c r="E2" s="268"/>
      <c r="F2" s="268"/>
      <c r="G2" s="268"/>
    </row>
    <row r="3" spans="1:7" ht="15.75" thickBot="1">
      <c r="A3" s="18"/>
      <c r="B3" s="18"/>
      <c r="C3" s="18"/>
      <c r="D3" s="18"/>
      <c r="E3" s="18"/>
      <c r="F3" s="18"/>
      <c r="G3" s="18"/>
    </row>
    <row r="4" spans="1:7" ht="15.75" customHeight="1" thickBot="1">
      <c r="A4" s="264" t="s">
        <v>0</v>
      </c>
      <c r="B4" s="266" t="s">
        <v>1</v>
      </c>
      <c r="C4" s="173" t="s">
        <v>81</v>
      </c>
      <c r="D4" s="173" t="s">
        <v>82</v>
      </c>
      <c r="E4" s="173" t="s">
        <v>83</v>
      </c>
      <c r="F4" s="262" t="s">
        <v>32</v>
      </c>
      <c r="G4" s="263"/>
    </row>
    <row r="5" spans="1:7" ht="44.25" customHeight="1">
      <c r="A5" s="265"/>
      <c r="B5" s="267"/>
      <c r="C5" s="174" t="s">
        <v>33</v>
      </c>
      <c r="D5" s="174" t="s">
        <v>33</v>
      </c>
      <c r="E5" s="174" t="s">
        <v>33</v>
      </c>
      <c r="F5" s="175" t="s">
        <v>34</v>
      </c>
      <c r="G5" s="176" t="s">
        <v>80</v>
      </c>
    </row>
    <row r="6" spans="1:7">
      <c r="A6" s="26">
        <f>NOMINA!A6</f>
        <v>1</v>
      </c>
      <c r="B6" s="27" t="str">
        <f>NOMINA!B6</f>
        <v>ABREU MARRERO LIZ DANIELA</v>
      </c>
      <c r="C6" s="24">
        <v>77</v>
      </c>
      <c r="D6" s="24"/>
      <c r="E6" s="24"/>
      <c r="F6" s="177">
        <f t="shared" ref="F6:F43" si="0">IF(ROUND((C6+D6+E6)/3,0)&gt;0,ROUND((C6+D6+E6)/3,0)," ")</f>
        <v>26</v>
      </c>
      <c r="G6" s="25"/>
    </row>
    <row r="7" spans="1:7">
      <c r="A7" s="26">
        <f>NOMINA!A7</f>
        <v>2</v>
      </c>
      <c r="B7" s="27" t="str">
        <f>NOMINA!B7</f>
        <v>ALIAGA SAAVEDRA MARCU MAURICIO</v>
      </c>
      <c r="C7" s="24">
        <v>74</v>
      </c>
      <c r="D7" s="24"/>
      <c r="E7" s="24"/>
      <c r="F7" s="177">
        <f t="shared" si="0"/>
        <v>25</v>
      </c>
      <c r="G7" s="25"/>
    </row>
    <row r="8" spans="1:7">
      <c r="A8" s="26">
        <f>NOMINA!A8</f>
        <v>3</v>
      </c>
      <c r="B8" s="27" t="str">
        <f>NOMINA!B8</f>
        <v>ANTEZANA CACHI JOSE MAXWEL</v>
      </c>
      <c r="C8" s="24">
        <v>75</v>
      </c>
      <c r="D8" s="24"/>
      <c r="E8" s="24"/>
      <c r="F8" s="177">
        <f t="shared" si="0"/>
        <v>25</v>
      </c>
      <c r="G8" s="25"/>
    </row>
    <row r="9" spans="1:7">
      <c r="A9" s="26">
        <f>NOMINA!A9</f>
        <v>4</v>
      </c>
      <c r="B9" s="27" t="str">
        <f>NOMINA!B9</f>
        <v>ARIZACA SALGUERO SANTIAGO</v>
      </c>
      <c r="C9" s="24">
        <v>77</v>
      </c>
      <c r="D9" s="24"/>
      <c r="E9" s="24"/>
      <c r="F9" s="177">
        <f t="shared" si="0"/>
        <v>26</v>
      </c>
      <c r="G9" s="25"/>
    </row>
    <row r="10" spans="1:7">
      <c r="A10" s="26">
        <f>NOMINA!A10</f>
        <v>5</v>
      </c>
      <c r="B10" s="27" t="str">
        <f>NOMINA!B10</f>
        <v>BAUTISTA GARCIA ALISON LUCIANA</v>
      </c>
      <c r="C10" s="24">
        <v>70</v>
      </c>
      <c r="D10" s="24"/>
      <c r="E10" s="24"/>
      <c r="F10" s="177">
        <f t="shared" si="0"/>
        <v>23</v>
      </c>
      <c r="G10" s="25"/>
    </row>
    <row r="11" spans="1:7">
      <c r="A11" s="26">
        <f>NOMINA!A11</f>
        <v>6</v>
      </c>
      <c r="B11" s="27" t="str">
        <f>NOMINA!B11</f>
        <v>BOLIVAR REVOLLO NIVARDO ADOLFO</v>
      </c>
      <c r="C11" s="24">
        <v>61</v>
      </c>
      <c r="D11" s="24"/>
      <c r="E11" s="24"/>
      <c r="F11" s="177">
        <f t="shared" si="0"/>
        <v>20</v>
      </c>
      <c r="G11" s="25"/>
    </row>
    <row r="12" spans="1:7">
      <c r="A12" s="26">
        <f>NOMINA!A12</f>
        <v>7</v>
      </c>
      <c r="B12" s="27" t="str">
        <f>NOMINA!B12</f>
        <v>CADIMA SOLIZ NICOLAS</v>
      </c>
      <c r="C12" s="24">
        <v>67</v>
      </c>
      <c r="D12" s="24"/>
      <c r="E12" s="24"/>
      <c r="F12" s="177">
        <f t="shared" si="0"/>
        <v>22</v>
      </c>
      <c r="G12" s="25"/>
    </row>
    <row r="13" spans="1:7">
      <c r="A13" s="26">
        <f>NOMINA!A13</f>
        <v>8</v>
      </c>
      <c r="B13" s="27" t="str">
        <f>NOMINA!B13</f>
        <v>CALLE PEREZ ANDREA BELEN</v>
      </c>
      <c r="C13" s="24">
        <v>83</v>
      </c>
      <c r="D13" s="24"/>
      <c r="E13" s="24"/>
      <c r="F13" s="177">
        <f t="shared" si="0"/>
        <v>28</v>
      </c>
      <c r="G13" s="25"/>
    </row>
    <row r="14" spans="1:7">
      <c r="A14" s="26">
        <f>NOMINA!A14</f>
        <v>9</v>
      </c>
      <c r="B14" s="27" t="str">
        <f>NOMINA!B14</f>
        <v>CHAVEZ AMURRIO SEBASTIAN FABIAN</v>
      </c>
      <c r="C14" s="24">
        <v>35</v>
      </c>
      <c r="D14" s="24"/>
      <c r="E14" s="24"/>
      <c r="F14" s="177">
        <f t="shared" si="0"/>
        <v>12</v>
      </c>
      <c r="G14" s="25"/>
    </row>
    <row r="15" spans="1:7">
      <c r="A15" s="26">
        <f>NOMINA!A15</f>
        <v>10</v>
      </c>
      <c r="B15" s="27" t="str">
        <f>NOMINA!B15</f>
        <v>CHOQUE ARISPE YURIANA LUCIA</v>
      </c>
      <c r="C15" s="24">
        <v>67</v>
      </c>
      <c r="D15" s="24"/>
      <c r="E15" s="24"/>
      <c r="F15" s="177">
        <f t="shared" si="0"/>
        <v>22</v>
      </c>
      <c r="G15" s="25"/>
    </row>
    <row r="16" spans="1:7">
      <c r="A16" s="26">
        <f>NOMINA!A16</f>
        <v>11</v>
      </c>
      <c r="B16" s="27" t="str">
        <f>NOMINA!B16</f>
        <v>CHOQUE PERALTA JHOEL ELIAZAR</v>
      </c>
      <c r="C16" s="24">
        <v>82</v>
      </c>
      <c r="D16" s="24"/>
      <c r="E16" s="24"/>
      <c r="F16" s="177">
        <f t="shared" si="0"/>
        <v>27</v>
      </c>
      <c r="G16" s="25"/>
    </row>
    <row r="17" spans="1:7">
      <c r="A17" s="26">
        <f>NOMINA!A17</f>
        <v>12</v>
      </c>
      <c r="B17" s="27" t="str">
        <f>NOMINA!B17</f>
        <v>COPA RIVERO MARCIA MARCELA</v>
      </c>
      <c r="C17" s="24">
        <v>59</v>
      </c>
      <c r="D17" s="24"/>
      <c r="E17" s="24"/>
      <c r="F17" s="177">
        <f t="shared" si="0"/>
        <v>20</v>
      </c>
      <c r="G17" s="25"/>
    </row>
    <row r="18" spans="1:7">
      <c r="A18" s="26">
        <f>NOMINA!A18</f>
        <v>13</v>
      </c>
      <c r="B18" s="27" t="str">
        <f>NOMINA!B18</f>
        <v>CORIA URUÑO CHRISTOPER GABRIEL</v>
      </c>
      <c r="C18" s="24">
        <v>78</v>
      </c>
      <c r="D18" s="24"/>
      <c r="E18" s="24"/>
      <c r="F18" s="177">
        <f t="shared" si="0"/>
        <v>26</v>
      </c>
      <c r="G18" s="25"/>
    </row>
    <row r="19" spans="1:7">
      <c r="A19" s="26">
        <f>NOMINA!A19</f>
        <v>14</v>
      </c>
      <c r="B19" s="27" t="str">
        <f>NOMINA!B19</f>
        <v>FLORES BALLESTEROS LEANDRO FRANK</v>
      </c>
      <c r="C19" s="24">
        <v>80</v>
      </c>
      <c r="D19" s="24"/>
      <c r="E19" s="24"/>
      <c r="F19" s="177">
        <f t="shared" si="0"/>
        <v>27</v>
      </c>
      <c r="G19" s="25"/>
    </row>
    <row r="20" spans="1:7">
      <c r="A20" s="26">
        <f>NOMINA!A20</f>
        <v>15</v>
      </c>
      <c r="B20" s="27" t="str">
        <f>NOMINA!B20</f>
        <v>GONZALES MOLINA ARIANET BELEN</v>
      </c>
      <c r="C20" s="24">
        <v>71</v>
      </c>
      <c r="D20" s="24"/>
      <c r="E20" s="24"/>
      <c r="F20" s="177">
        <f t="shared" si="0"/>
        <v>24</v>
      </c>
      <c r="G20" s="25"/>
    </row>
    <row r="21" spans="1:7">
      <c r="A21" s="26">
        <f>NOMINA!A21</f>
        <v>16</v>
      </c>
      <c r="B21" s="27" t="str">
        <f>NOMINA!B21</f>
        <v>GUAQUIPA BECERRA NICOLAS ALEX</v>
      </c>
      <c r="C21" s="24">
        <v>85</v>
      </c>
      <c r="D21" s="24"/>
      <c r="E21" s="24"/>
      <c r="F21" s="177">
        <f t="shared" si="0"/>
        <v>28</v>
      </c>
      <c r="G21" s="25"/>
    </row>
    <row r="22" spans="1:7">
      <c r="A22" s="26">
        <f>NOMINA!A22</f>
        <v>17</v>
      </c>
      <c r="B22" s="27" t="str">
        <f>NOMINA!B22</f>
        <v>HUANQUIRI MAMANI JHOSMAR</v>
      </c>
      <c r="C22" s="24">
        <v>35</v>
      </c>
      <c r="D22" s="24"/>
      <c r="E22" s="24"/>
      <c r="F22" s="177">
        <f t="shared" si="0"/>
        <v>12</v>
      </c>
      <c r="G22" s="25"/>
    </row>
    <row r="23" spans="1:7">
      <c r="A23" s="26">
        <f>NOMINA!A23</f>
        <v>18</v>
      </c>
      <c r="B23" s="27" t="str">
        <f>NOMINA!B23</f>
        <v>JOVE ARNEZ ANDREA LUCIANA</v>
      </c>
      <c r="C23" s="24">
        <v>51</v>
      </c>
      <c r="D23" s="24"/>
      <c r="E23" s="24"/>
      <c r="F23" s="177">
        <f t="shared" si="0"/>
        <v>17</v>
      </c>
      <c r="G23" s="25"/>
    </row>
    <row r="24" spans="1:7">
      <c r="A24" s="26">
        <f>NOMINA!A24</f>
        <v>19</v>
      </c>
      <c r="B24" s="27" t="str">
        <f>NOMINA!B24</f>
        <v>LAFUENTE ORTUÑO VICTORIA VALENTINA</v>
      </c>
      <c r="C24" s="24">
        <v>51</v>
      </c>
      <c r="D24" s="24"/>
      <c r="E24" s="24"/>
      <c r="F24" s="177">
        <f t="shared" si="0"/>
        <v>17</v>
      </c>
      <c r="G24" s="25"/>
    </row>
    <row r="25" spans="1:7">
      <c r="A25" s="26">
        <f>NOMINA!A25</f>
        <v>20</v>
      </c>
      <c r="B25" s="27" t="str">
        <f>NOMINA!B25</f>
        <v>MAGNANI CANAVIRI JOSUE JHONATHAN</v>
      </c>
      <c r="C25" s="24">
        <v>69</v>
      </c>
      <c r="D25" s="24"/>
      <c r="E25" s="24"/>
      <c r="F25" s="177">
        <f t="shared" si="0"/>
        <v>23</v>
      </c>
      <c r="G25" s="25"/>
    </row>
    <row r="26" spans="1:7">
      <c r="A26" s="26">
        <f>NOMINA!A26</f>
        <v>21</v>
      </c>
      <c r="B26" s="27" t="str">
        <f>NOMINA!B26</f>
        <v>MERUVIA GUTIERREZ ASHLY SCARLETT</v>
      </c>
      <c r="C26" s="24">
        <v>90</v>
      </c>
      <c r="D26" s="24"/>
      <c r="E26" s="24"/>
      <c r="F26" s="177">
        <f t="shared" si="0"/>
        <v>30</v>
      </c>
      <c r="G26" s="25"/>
    </row>
    <row r="27" spans="1:7">
      <c r="A27" s="26">
        <f>NOMINA!A27</f>
        <v>22</v>
      </c>
      <c r="B27" s="27" t="str">
        <f>NOMINA!B27</f>
        <v>MONTAÑO QUILO BENJAMIN GONZALO</v>
      </c>
      <c r="C27" s="24">
        <v>56</v>
      </c>
      <c r="D27" s="24"/>
      <c r="E27" s="24"/>
      <c r="F27" s="177">
        <f t="shared" si="0"/>
        <v>19</v>
      </c>
      <c r="G27" s="25"/>
    </row>
    <row r="28" spans="1:7">
      <c r="A28" s="26">
        <f>NOMINA!A28</f>
        <v>23</v>
      </c>
      <c r="B28" s="27" t="str">
        <f>NOMINA!B28</f>
        <v>PANIAGUA VARGAS KEYLA</v>
      </c>
      <c r="C28" s="24">
        <v>73</v>
      </c>
      <c r="D28" s="24"/>
      <c r="E28" s="24"/>
      <c r="F28" s="177">
        <f t="shared" si="0"/>
        <v>24</v>
      </c>
      <c r="G28" s="25"/>
    </row>
    <row r="29" spans="1:7">
      <c r="A29" s="26">
        <f>NOMINA!A29</f>
        <v>24</v>
      </c>
      <c r="B29" s="27" t="str">
        <f>NOMINA!B29</f>
        <v>PATZI GUARACHI MARIA BELEN</v>
      </c>
      <c r="C29" s="24">
        <v>87</v>
      </c>
      <c r="D29" s="24"/>
      <c r="E29" s="24"/>
      <c r="F29" s="177">
        <f t="shared" si="0"/>
        <v>29</v>
      </c>
      <c r="G29" s="25"/>
    </row>
    <row r="30" spans="1:7">
      <c r="A30" s="26">
        <f>NOMINA!A30</f>
        <v>25</v>
      </c>
      <c r="B30" s="27" t="str">
        <f>NOMINA!B30</f>
        <v>QUENALLATA CESPEDES LUMAIDA YANISS</v>
      </c>
      <c r="C30" s="24">
        <v>71</v>
      </c>
      <c r="D30" s="24"/>
      <c r="E30" s="24"/>
      <c r="F30" s="177">
        <f t="shared" si="0"/>
        <v>24</v>
      </c>
      <c r="G30" s="25"/>
    </row>
    <row r="31" spans="1:7">
      <c r="A31" s="26">
        <f>NOMINA!A31</f>
        <v>26</v>
      </c>
      <c r="B31" s="27" t="str">
        <f>NOMINA!B31</f>
        <v>QUISPE ESCARZA CIELO</v>
      </c>
      <c r="C31" s="24">
        <v>70</v>
      </c>
      <c r="D31" s="24"/>
      <c r="E31" s="24"/>
      <c r="F31" s="177">
        <f t="shared" si="0"/>
        <v>23</v>
      </c>
      <c r="G31" s="25"/>
    </row>
    <row r="32" spans="1:7">
      <c r="A32" s="26">
        <f>NOMINA!A32</f>
        <v>27</v>
      </c>
      <c r="B32" s="27" t="str">
        <f>NOMINA!B32</f>
        <v>QUISPE MILAN ADRIAN ANTHONY</v>
      </c>
      <c r="C32" s="24">
        <v>77</v>
      </c>
      <c r="D32" s="24"/>
      <c r="E32" s="24"/>
      <c r="F32" s="177">
        <f t="shared" si="0"/>
        <v>26</v>
      </c>
      <c r="G32" s="25"/>
    </row>
    <row r="33" spans="1:7">
      <c r="A33" s="26">
        <f>NOMINA!A33</f>
        <v>28</v>
      </c>
      <c r="B33" s="27" t="str">
        <f>NOMINA!B33</f>
        <v>ROMAN TITO MATEO</v>
      </c>
      <c r="C33" s="24">
        <v>82</v>
      </c>
      <c r="D33" s="24"/>
      <c r="E33" s="24"/>
      <c r="F33" s="177">
        <f t="shared" si="0"/>
        <v>27</v>
      </c>
      <c r="G33" s="25"/>
    </row>
    <row r="34" spans="1:7">
      <c r="A34" s="26">
        <f>NOMINA!A34</f>
        <v>29</v>
      </c>
      <c r="B34" s="27" t="str">
        <f>NOMINA!B34</f>
        <v xml:space="preserve">SILES MAMANI JUSTIN ANGEL </v>
      </c>
      <c r="C34" s="24">
        <v>80</v>
      </c>
      <c r="D34" s="24"/>
      <c r="E34" s="24"/>
      <c r="F34" s="177">
        <f t="shared" si="0"/>
        <v>27</v>
      </c>
      <c r="G34" s="25"/>
    </row>
    <row r="35" spans="1:7">
      <c r="A35" s="26">
        <f>NOMINA!A35</f>
        <v>30</v>
      </c>
      <c r="B35" s="27" t="str">
        <f>NOMINA!B35</f>
        <v>TERAN COCA DIEGO NICOLAS</v>
      </c>
      <c r="C35" s="24">
        <v>68</v>
      </c>
      <c r="D35" s="24"/>
      <c r="E35" s="24"/>
      <c r="F35" s="177">
        <f t="shared" si="0"/>
        <v>23</v>
      </c>
      <c r="G35" s="25"/>
    </row>
    <row r="36" spans="1:7">
      <c r="A36" s="26">
        <f>NOMINA!A36</f>
        <v>31</v>
      </c>
      <c r="B36" s="27" t="str">
        <f>NOMINA!B36</f>
        <v>URIA LOPEZ SEBASTIAN ARIEL</v>
      </c>
      <c r="C36" s="24">
        <v>77</v>
      </c>
      <c r="D36" s="24"/>
      <c r="E36" s="24"/>
      <c r="F36" s="177">
        <f t="shared" si="0"/>
        <v>26</v>
      </c>
      <c r="G36" s="25"/>
    </row>
    <row r="37" spans="1:7">
      <c r="A37" s="26">
        <f>NOMINA!A37</f>
        <v>32</v>
      </c>
      <c r="B37" s="27" t="str">
        <f>NOMINA!B37</f>
        <v>VASQUEZ ESPINOZA JHONATAN YAYCOB</v>
      </c>
      <c r="C37" s="24">
        <v>62</v>
      </c>
      <c r="D37" s="24"/>
      <c r="E37" s="24"/>
      <c r="F37" s="177">
        <f t="shared" si="0"/>
        <v>21</v>
      </c>
      <c r="G37" s="25"/>
    </row>
    <row r="38" spans="1:7">
      <c r="A38" s="26">
        <f>NOMINA!A38</f>
        <v>33</v>
      </c>
      <c r="B38" s="27" t="str">
        <f>NOMINA!B38</f>
        <v>VEIZAGA LEDEZMA SEBASTIAN</v>
      </c>
      <c r="C38" s="24">
        <v>81</v>
      </c>
      <c r="D38" s="24"/>
      <c r="E38" s="24"/>
      <c r="F38" s="177">
        <f t="shared" si="0"/>
        <v>27</v>
      </c>
      <c r="G38" s="25"/>
    </row>
    <row r="39" spans="1:7">
      <c r="A39" s="26">
        <f>NOMINA!A39</f>
        <v>34</v>
      </c>
      <c r="B39" s="27" t="str">
        <f>NOMINA!B39</f>
        <v>VILLARROEL CUCHILLO HUGO SEBASTIAN</v>
      </c>
      <c r="C39" s="24">
        <v>53</v>
      </c>
      <c r="D39" s="24"/>
      <c r="E39" s="24"/>
      <c r="F39" s="177">
        <f t="shared" si="0"/>
        <v>18</v>
      </c>
      <c r="G39" s="25"/>
    </row>
    <row r="40" spans="1:7">
      <c r="A40" s="26">
        <f>NOMINA!A40</f>
        <v>35</v>
      </c>
      <c r="B40" s="27" t="str">
        <f>NOMINA!B40</f>
        <v>ZAMBRANA MENDEZ MIRCO ALEXANDER</v>
      </c>
      <c r="C40" s="24">
        <v>61</v>
      </c>
      <c r="D40" s="24"/>
      <c r="E40" s="24"/>
      <c r="F40" s="177">
        <f t="shared" si="0"/>
        <v>20</v>
      </c>
      <c r="G40" s="25"/>
    </row>
    <row r="41" spans="1:7">
      <c r="A41" s="26">
        <f>NOMINA!A41</f>
        <v>36</v>
      </c>
      <c r="B41" s="27">
        <f>NOMINA!B41</f>
        <v>0</v>
      </c>
      <c r="C41" s="24"/>
      <c r="D41" s="24"/>
      <c r="E41" s="24"/>
      <c r="F41" s="177" t="str">
        <f t="shared" si="0"/>
        <v xml:space="preserve"> </v>
      </c>
      <c r="G41" s="25"/>
    </row>
    <row r="42" spans="1:7">
      <c r="A42" s="26">
        <f>NOMINA!A42</f>
        <v>37</v>
      </c>
      <c r="B42" s="27">
        <f>NOMINA!B42</f>
        <v>0</v>
      </c>
      <c r="C42" s="24"/>
      <c r="D42" s="24"/>
      <c r="E42" s="24"/>
      <c r="F42" s="177" t="str">
        <f t="shared" si="0"/>
        <v xml:space="preserve"> </v>
      </c>
      <c r="G42" s="25"/>
    </row>
    <row r="43" spans="1:7">
      <c r="A43" s="26">
        <f>NOMINA!A43</f>
        <v>38</v>
      </c>
      <c r="B43" s="27">
        <f>NOMINA!B43</f>
        <v>0</v>
      </c>
      <c r="C43" s="24"/>
      <c r="D43" s="24"/>
      <c r="E43" s="24"/>
      <c r="F43" s="177" t="str">
        <f t="shared" si="0"/>
        <v xml:space="preserve"> </v>
      </c>
      <c r="G43" s="25"/>
    </row>
    <row r="44" spans="1:7">
      <c r="A44" s="26">
        <f>NOMINA!A44</f>
        <v>39</v>
      </c>
      <c r="B44" s="27">
        <f>NOMINA!B44</f>
        <v>0</v>
      </c>
      <c r="C44" s="24"/>
      <c r="D44" s="24"/>
      <c r="E44" s="24"/>
      <c r="F44" s="177" t="str">
        <f t="shared" ref="F44:F50" si="1">IF(ROUND((C44+D44+E44)/3,0)&gt;0,ROUND((C44+D44+E44)/3,0)," ")</f>
        <v xml:space="preserve"> </v>
      </c>
      <c r="G44" s="25"/>
    </row>
    <row r="45" spans="1:7">
      <c r="A45" s="26">
        <f>NOMINA!A45</f>
        <v>40</v>
      </c>
      <c r="B45" s="27">
        <f>NOMINA!B45</f>
        <v>0</v>
      </c>
      <c r="C45" s="24"/>
      <c r="D45" s="24"/>
      <c r="E45" s="24"/>
      <c r="F45" s="177" t="str">
        <f t="shared" si="1"/>
        <v xml:space="preserve"> </v>
      </c>
      <c r="G45" s="25"/>
    </row>
    <row r="46" spans="1:7">
      <c r="A46" s="26">
        <f>NOMINA!A46</f>
        <v>41</v>
      </c>
      <c r="B46" s="224">
        <f>NOMINA!B46</f>
        <v>0</v>
      </c>
      <c r="C46" s="24"/>
      <c r="D46" s="24"/>
      <c r="E46" s="24"/>
      <c r="F46" s="177" t="str">
        <f t="shared" si="1"/>
        <v xml:space="preserve"> </v>
      </c>
      <c r="G46" s="25"/>
    </row>
    <row r="47" spans="1:7">
      <c r="A47" s="26">
        <f>NOMINA!A47</f>
        <v>42</v>
      </c>
      <c r="B47" s="188">
        <f>NOMINA!B47</f>
        <v>0</v>
      </c>
      <c r="C47" s="24"/>
      <c r="D47" s="24"/>
      <c r="E47" s="24"/>
      <c r="F47" s="177" t="str">
        <f t="shared" si="1"/>
        <v xml:space="preserve"> </v>
      </c>
      <c r="G47" s="25"/>
    </row>
    <row r="48" spans="1:7">
      <c r="A48" s="26">
        <f>NOMINA!A48</f>
        <v>43</v>
      </c>
      <c r="B48" s="188">
        <f>NOMINA!B48</f>
        <v>0</v>
      </c>
      <c r="C48" s="24"/>
      <c r="D48" s="24"/>
      <c r="E48" s="24"/>
      <c r="F48" s="177" t="str">
        <f t="shared" si="1"/>
        <v xml:space="preserve"> </v>
      </c>
      <c r="G48" s="25"/>
    </row>
    <row r="49" spans="1:7">
      <c r="A49" s="26">
        <f>NOMINA!A49</f>
        <v>44</v>
      </c>
      <c r="B49" s="188">
        <f>NOMINA!B49</f>
        <v>0</v>
      </c>
      <c r="C49" s="24"/>
      <c r="D49" s="24"/>
      <c r="E49" s="24"/>
      <c r="F49" s="177" t="str">
        <f t="shared" si="1"/>
        <v xml:space="preserve"> </v>
      </c>
      <c r="G49" s="25"/>
    </row>
    <row r="50" spans="1:7">
      <c r="A50" s="26">
        <f>NOMINA!A50</f>
        <v>45</v>
      </c>
      <c r="B50" s="188">
        <f>NOMINA!B50</f>
        <v>0</v>
      </c>
      <c r="C50" s="24"/>
      <c r="D50" s="24"/>
      <c r="E50" s="24"/>
      <c r="F50" s="177" t="str">
        <f t="shared" si="1"/>
        <v xml:space="preserve"> </v>
      </c>
      <c r="G50" s="25"/>
    </row>
  </sheetData>
  <protectedRanges>
    <protectedRange sqref="C6:E50 G6:G50" name="Rango1"/>
  </protectedRanges>
  <customSheetViews>
    <customSheetView guid="{2AA0188C-879C-4D95-82F5-15F4B34AA912}">
      <selection sqref="A1:P45"/>
      <pageMargins left="0.7" right="0.7" top="0.75" bottom="0.75" header="0.3" footer="0.3"/>
    </customSheetView>
  </customSheetViews>
  <mergeCells count="4">
    <mergeCell ref="F4:G4"/>
    <mergeCell ref="A4:A5"/>
    <mergeCell ref="B4:B5"/>
    <mergeCell ref="C2:G2"/>
  </mergeCells>
  <conditionalFormatting sqref="C6:F50">
    <cfRule type="cellIs" dxfId="27" priority="1" operator="lessThan">
      <formula>35</formula>
    </cfRule>
    <cfRule type="cellIs" dxfId="26" priority="2" operator="lessThan">
      <formula>51</formula>
    </cfRule>
  </conditionalFormatting>
  <pageMargins left="0.7" right="0.7" top="0.75" bottom="0.75" header="0.3" footer="0.3"/>
  <pageSetup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1">
    <tabColor rgb="FFFFFF00"/>
  </sheetPr>
  <dimension ref="A1:G50"/>
  <sheetViews>
    <sheetView topLeftCell="A7" workbookViewId="0">
      <selection activeCell="D20" sqref="D20"/>
    </sheetView>
  </sheetViews>
  <sheetFormatPr defaultColWidth="11.42578125" defaultRowHeight="15"/>
  <cols>
    <col min="1" max="1" width="4.28515625" customWidth="1"/>
    <col min="2" max="2" width="45.140625" bestFit="1" customWidth="1"/>
    <col min="3" max="6" width="8.7109375" customWidth="1"/>
    <col min="7" max="7" width="15.5703125" customWidth="1"/>
  </cols>
  <sheetData>
    <row r="1" spans="1:7">
      <c r="A1" s="18"/>
      <c r="B1" s="18"/>
      <c r="C1" s="18"/>
      <c r="D1" s="18"/>
      <c r="E1" s="18"/>
      <c r="F1" s="18"/>
      <c r="G1" s="18"/>
    </row>
    <row r="2" spans="1:7" ht="18.75" customHeight="1">
      <c r="A2" s="19"/>
      <c r="B2" s="20" t="str">
        <f>NOMINA!$B$2</f>
        <v>CURSO 2A</v>
      </c>
      <c r="C2" s="268" t="s">
        <v>98</v>
      </c>
      <c r="D2" s="268"/>
      <c r="E2" s="268"/>
      <c r="F2" s="268"/>
      <c r="G2" s="268"/>
    </row>
    <row r="3" spans="1:7" ht="15.75" thickBot="1">
      <c r="A3" s="18"/>
      <c r="B3" s="18"/>
      <c r="C3" s="18"/>
      <c r="D3" s="18"/>
      <c r="E3" s="18"/>
      <c r="F3" s="18"/>
      <c r="G3" s="18"/>
    </row>
    <row r="4" spans="1:7" ht="15.75" customHeight="1" thickBot="1">
      <c r="A4" s="264" t="s">
        <v>0</v>
      </c>
      <c r="B4" s="266" t="s">
        <v>1</v>
      </c>
      <c r="C4" s="173" t="s">
        <v>81</v>
      </c>
      <c r="D4" s="173" t="s">
        <v>82</v>
      </c>
      <c r="E4" s="173" t="s">
        <v>83</v>
      </c>
      <c r="F4" s="262" t="s">
        <v>32</v>
      </c>
      <c r="G4" s="263"/>
    </row>
    <row r="5" spans="1:7" ht="44.25" customHeight="1">
      <c r="A5" s="265"/>
      <c r="B5" s="267"/>
      <c r="C5" s="174" t="s">
        <v>33</v>
      </c>
      <c r="D5" s="174" t="s">
        <v>33</v>
      </c>
      <c r="E5" s="174" t="s">
        <v>33</v>
      </c>
      <c r="F5" s="175" t="s">
        <v>34</v>
      </c>
      <c r="G5" s="176" t="s">
        <v>80</v>
      </c>
    </row>
    <row r="6" spans="1:7">
      <c r="A6" s="26">
        <f>NOMINA!A6</f>
        <v>1</v>
      </c>
      <c r="B6" s="27" t="str">
        <f>NOMINA!B6</f>
        <v>ABREU MARRERO LIZ DANIELA</v>
      </c>
      <c r="C6" s="215">
        <v>74</v>
      </c>
      <c r="D6" s="24"/>
      <c r="E6" s="24"/>
      <c r="F6" s="177">
        <f t="shared" ref="F6:F50" si="0">IF(ROUND((C6+D6+E6)/3,0)&gt;0,ROUND((C6+D6+E6)/3,0)," ")</f>
        <v>25</v>
      </c>
      <c r="G6" s="25"/>
    </row>
    <row r="7" spans="1:7">
      <c r="A7" s="26">
        <f>NOMINA!A7</f>
        <v>2</v>
      </c>
      <c r="B7" s="27" t="str">
        <f>NOMINA!B7</f>
        <v>ALIAGA SAAVEDRA MARCU MAURICIO</v>
      </c>
      <c r="C7" s="215">
        <v>80</v>
      </c>
      <c r="D7" s="24"/>
      <c r="E7" s="24"/>
      <c r="F7" s="177">
        <f t="shared" si="0"/>
        <v>27</v>
      </c>
      <c r="G7" s="25"/>
    </row>
    <row r="8" spans="1:7">
      <c r="A8" s="26">
        <f>NOMINA!A8</f>
        <v>3</v>
      </c>
      <c r="B8" s="27" t="str">
        <f>NOMINA!B8</f>
        <v>ANTEZANA CACHI JOSE MAXWEL</v>
      </c>
      <c r="C8" s="215">
        <v>85</v>
      </c>
      <c r="D8" s="24"/>
      <c r="E8" s="24"/>
      <c r="F8" s="177">
        <f t="shared" si="0"/>
        <v>28</v>
      </c>
      <c r="G8" s="25"/>
    </row>
    <row r="9" spans="1:7">
      <c r="A9" s="26">
        <f>NOMINA!A9</f>
        <v>4</v>
      </c>
      <c r="B9" s="27" t="str">
        <f>NOMINA!B9</f>
        <v>ARIZACA SALGUERO SANTIAGO</v>
      </c>
      <c r="C9" s="215">
        <v>51</v>
      </c>
      <c r="D9" s="24"/>
      <c r="E9" s="24"/>
      <c r="F9" s="177">
        <f t="shared" si="0"/>
        <v>17</v>
      </c>
      <c r="G9" s="25"/>
    </row>
    <row r="10" spans="1:7">
      <c r="A10" s="26">
        <f>NOMINA!A10</f>
        <v>5</v>
      </c>
      <c r="B10" s="27" t="str">
        <f>NOMINA!B10</f>
        <v>BAUTISTA GARCIA ALISON LUCIANA</v>
      </c>
      <c r="C10" s="215">
        <v>66</v>
      </c>
      <c r="D10" s="24"/>
      <c r="E10" s="24"/>
      <c r="F10" s="177">
        <f t="shared" si="0"/>
        <v>22</v>
      </c>
      <c r="G10" s="25"/>
    </row>
    <row r="11" spans="1:7">
      <c r="A11" s="26">
        <f>NOMINA!A11</f>
        <v>6</v>
      </c>
      <c r="B11" s="27" t="str">
        <f>NOMINA!B11</f>
        <v>BOLIVAR REVOLLO NIVARDO ADOLFO</v>
      </c>
      <c r="C11" s="215">
        <v>64</v>
      </c>
      <c r="D11" s="24"/>
      <c r="E11" s="24"/>
      <c r="F11" s="177">
        <f t="shared" si="0"/>
        <v>21</v>
      </c>
      <c r="G11" s="25"/>
    </row>
    <row r="12" spans="1:7">
      <c r="A12" s="26">
        <f>NOMINA!A12</f>
        <v>7</v>
      </c>
      <c r="B12" s="27" t="str">
        <f>NOMINA!B12</f>
        <v>CADIMA SOLIZ NICOLAS</v>
      </c>
      <c r="C12" s="215">
        <v>67</v>
      </c>
      <c r="D12" s="24"/>
      <c r="E12" s="24"/>
      <c r="F12" s="177">
        <f t="shared" si="0"/>
        <v>22</v>
      </c>
      <c r="G12" s="25"/>
    </row>
    <row r="13" spans="1:7">
      <c r="A13" s="26">
        <f>NOMINA!A13</f>
        <v>8</v>
      </c>
      <c r="B13" s="27" t="str">
        <f>NOMINA!B13</f>
        <v>CALLE PEREZ ANDREA BELEN</v>
      </c>
      <c r="C13" s="215">
        <v>81</v>
      </c>
      <c r="D13" s="24"/>
      <c r="E13" s="24"/>
      <c r="F13" s="177">
        <f t="shared" si="0"/>
        <v>27</v>
      </c>
      <c r="G13" s="25"/>
    </row>
    <row r="14" spans="1:7">
      <c r="A14" s="26">
        <f>NOMINA!A14</f>
        <v>9</v>
      </c>
      <c r="B14" s="27" t="str">
        <f>NOMINA!B14</f>
        <v>CHAVEZ AMURRIO SEBASTIAN FABIAN</v>
      </c>
      <c r="C14" s="215">
        <v>45</v>
      </c>
      <c r="D14" s="24"/>
      <c r="E14" s="24"/>
      <c r="F14" s="177">
        <f t="shared" si="0"/>
        <v>15</v>
      </c>
      <c r="G14" s="25"/>
    </row>
    <row r="15" spans="1:7">
      <c r="A15" s="26">
        <f>NOMINA!A15</f>
        <v>10</v>
      </c>
      <c r="B15" s="27" t="str">
        <f>NOMINA!B15</f>
        <v>CHOQUE ARISPE YURIANA LUCIA</v>
      </c>
      <c r="C15" s="215">
        <v>67</v>
      </c>
      <c r="D15" s="24"/>
      <c r="E15" s="24"/>
      <c r="F15" s="177">
        <f t="shared" si="0"/>
        <v>22</v>
      </c>
      <c r="G15" s="25"/>
    </row>
    <row r="16" spans="1:7">
      <c r="A16" s="26">
        <f>NOMINA!A16</f>
        <v>11</v>
      </c>
      <c r="B16" s="27" t="str">
        <f>NOMINA!B16</f>
        <v>CHOQUE PERALTA JHOEL ELIAZAR</v>
      </c>
      <c r="C16" s="215">
        <v>83</v>
      </c>
      <c r="D16" s="24"/>
      <c r="E16" s="24"/>
      <c r="F16" s="177">
        <f t="shared" si="0"/>
        <v>28</v>
      </c>
      <c r="G16" s="25"/>
    </row>
    <row r="17" spans="1:7">
      <c r="A17" s="26">
        <f>NOMINA!A17</f>
        <v>12</v>
      </c>
      <c r="B17" s="27" t="str">
        <f>NOMINA!B17</f>
        <v>COPA RIVERO MARCIA MARCELA</v>
      </c>
      <c r="C17" s="215">
        <v>51</v>
      </c>
      <c r="D17" s="24"/>
      <c r="E17" s="24"/>
      <c r="F17" s="177">
        <f t="shared" si="0"/>
        <v>17</v>
      </c>
      <c r="G17" s="25"/>
    </row>
    <row r="18" spans="1:7">
      <c r="A18" s="26">
        <f>NOMINA!A18</f>
        <v>13</v>
      </c>
      <c r="B18" s="27" t="str">
        <f>NOMINA!B18</f>
        <v>CORIA URUÑO CHRISTOPER GABRIEL</v>
      </c>
      <c r="C18" s="215">
        <v>69</v>
      </c>
      <c r="D18" s="24"/>
      <c r="E18" s="24"/>
      <c r="F18" s="177">
        <f t="shared" si="0"/>
        <v>23</v>
      </c>
      <c r="G18" s="25"/>
    </row>
    <row r="19" spans="1:7">
      <c r="A19" s="26">
        <f>NOMINA!A19</f>
        <v>14</v>
      </c>
      <c r="B19" s="27" t="str">
        <f>NOMINA!B19</f>
        <v>FLORES BALLESTEROS LEANDRO FRANK</v>
      </c>
      <c r="C19" s="215">
        <v>64</v>
      </c>
      <c r="D19" s="24"/>
      <c r="E19" s="24"/>
      <c r="F19" s="177">
        <f t="shared" si="0"/>
        <v>21</v>
      </c>
      <c r="G19" s="25"/>
    </row>
    <row r="20" spans="1:7">
      <c r="A20" s="26">
        <f>NOMINA!A20</f>
        <v>15</v>
      </c>
      <c r="B20" s="27" t="str">
        <f>NOMINA!B20</f>
        <v>GONZALES MOLINA ARIANET BELEN</v>
      </c>
      <c r="C20" s="215">
        <v>85</v>
      </c>
      <c r="D20" s="24"/>
      <c r="E20" s="24"/>
      <c r="F20" s="177">
        <f t="shared" si="0"/>
        <v>28</v>
      </c>
      <c r="G20" s="25"/>
    </row>
    <row r="21" spans="1:7">
      <c r="A21" s="26">
        <f>NOMINA!A21</f>
        <v>16</v>
      </c>
      <c r="B21" s="27" t="str">
        <f>NOMINA!B21</f>
        <v>GUAQUIPA BECERRA NICOLAS ALEX</v>
      </c>
      <c r="C21" s="215">
        <v>82</v>
      </c>
      <c r="D21" s="24"/>
      <c r="E21" s="24"/>
      <c r="F21" s="177">
        <f t="shared" si="0"/>
        <v>27</v>
      </c>
      <c r="G21" s="25"/>
    </row>
    <row r="22" spans="1:7">
      <c r="A22" s="26">
        <f>NOMINA!A22</f>
        <v>17</v>
      </c>
      <c r="B22" s="27" t="str">
        <f>NOMINA!B22</f>
        <v>HUANQUIRI MAMANI JHOSMAR</v>
      </c>
      <c r="C22" s="215">
        <v>49</v>
      </c>
      <c r="D22" s="24"/>
      <c r="E22" s="24"/>
      <c r="F22" s="177">
        <f t="shared" si="0"/>
        <v>16</v>
      </c>
      <c r="G22" s="25"/>
    </row>
    <row r="23" spans="1:7">
      <c r="A23" s="26">
        <f>NOMINA!A23</f>
        <v>18</v>
      </c>
      <c r="B23" s="27" t="str">
        <f>NOMINA!B23</f>
        <v>JOVE ARNEZ ANDREA LUCIANA</v>
      </c>
      <c r="C23" s="215">
        <v>80</v>
      </c>
      <c r="D23" s="24"/>
      <c r="E23" s="24"/>
      <c r="F23" s="177">
        <f t="shared" si="0"/>
        <v>27</v>
      </c>
      <c r="G23" s="25"/>
    </row>
    <row r="24" spans="1:7">
      <c r="A24" s="26">
        <f>NOMINA!A24</f>
        <v>19</v>
      </c>
      <c r="B24" s="27" t="str">
        <f>NOMINA!B24</f>
        <v>LAFUENTE ORTUÑO VICTORIA VALENTINA</v>
      </c>
      <c r="C24" s="215">
        <v>54</v>
      </c>
      <c r="D24" s="24"/>
      <c r="E24" s="24"/>
      <c r="F24" s="177">
        <f t="shared" si="0"/>
        <v>18</v>
      </c>
      <c r="G24" s="25"/>
    </row>
    <row r="25" spans="1:7">
      <c r="A25" s="26">
        <f>NOMINA!A25</f>
        <v>20</v>
      </c>
      <c r="B25" s="27" t="str">
        <f>NOMINA!B25</f>
        <v>MAGNANI CANAVIRI JOSUE JHONATHAN</v>
      </c>
      <c r="C25" s="215">
        <v>59</v>
      </c>
      <c r="D25" s="24"/>
      <c r="E25" s="24"/>
      <c r="F25" s="177">
        <f t="shared" si="0"/>
        <v>20</v>
      </c>
      <c r="G25" s="25"/>
    </row>
    <row r="26" spans="1:7">
      <c r="A26" s="26">
        <f>NOMINA!A26</f>
        <v>21</v>
      </c>
      <c r="B26" s="27" t="str">
        <f>NOMINA!B26</f>
        <v>MERUVIA GUTIERREZ ASHLY SCARLETT</v>
      </c>
      <c r="C26" s="215">
        <v>86</v>
      </c>
      <c r="D26" s="24"/>
      <c r="E26" s="24"/>
      <c r="F26" s="177">
        <f t="shared" si="0"/>
        <v>29</v>
      </c>
      <c r="G26" s="25"/>
    </row>
    <row r="27" spans="1:7">
      <c r="A27" s="26">
        <f>NOMINA!A27</f>
        <v>22</v>
      </c>
      <c r="B27" s="27" t="str">
        <f>NOMINA!B27</f>
        <v>MONTAÑO QUILO BENJAMIN GONZALO</v>
      </c>
      <c r="C27" s="215">
        <v>41</v>
      </c>
      <c r="D27" s="24"/>
      <c r="E27" s="24"/>
      <c r="F27" s="177">
        <f t="shared" si="0"/>
        <v>14</v>
      </c>
      <c r="G27" s="25"/>
    </row>
    <row r="28" spans="1:7">
      <c r="A28" s="26">
        <f>NOMINA!A28</f>
        <v>23</v>
      </c>
      <c r="B28" s="27" t="str">
        <f>NOMINA!B28</f>
        <v>PANIAGUA VARGAS KEYLA</v>
      </c>
      <c r="C28" s="215">
        <v>85</v>
      </c>
      <c r="D28" s="24"/>
      <c r="E28" s="24"/>
      <c r="F28" s="177">
        <f t="shared" si="0"/>
        <v>28</v>
      </c>
      <c r="G28" s="25"/>
    </row>
    <row r="29" spans="1:7">
      <c r="A29" s="26">
        <f>NOMINA!A29</f>
        <v>24</v>
      </c>
      <c r="B29" s="27" t="str">
        <f>NOMINA!B29</f>
        <v>PATZI GUARACHI MARIA BELEN</v>
      </c>
      <c r="C29" s="215">
        <v>87</v>
      </c>
      <c r="D29" s="24"/>
      <c r="E29" s="24"/>
      <c r="F29" s="177">
        <f t="shared" si="0"/>
        <v>29</v>
      </c>
      <c r="G29" s="25"/>
    </row>
    <row r="30" spans="1:7">
      <c r="A30" s="26">
        <f>NOMINA!A30</f>
        <v>25</v>
      </c>
      <c r="B30" s="27" t="str">
        <f>NOMINA!B30</f>
        <v>QUENALLATA CESPEDES LUMAIDA YANISS</v>
      </c>
      <c r="C30" s="215">
        <v>38</v>
      </c>
      <c r="D30" s="24"/>
      <c r="E30" s="24"/>
      <c r="F30" s="177">
        <f t="shared" si="0"/>
        <v>13</v>
      </c>
      <c r="G30" s="25"/>
    </row>
    <row r="31" spans="1:7">
      <c r="A31" s="26">
        <f>NOMINA!A31</f>
        <v>26</v>
      </c>
      <c r="B31" s="27" t="str">
        <f>NOMINA!B31</f>
        <v>QUISPE ESCARZA CIELO</v>
      </c>
      <c r="C31" s="215">
        <v>56</v>
      </c>
      <c r="D31" s="24"/>
      <c r="E31" s="24"/>
      <c r="F31" s="177">
        <f t="shared" si="0"/>
        <v>19</v>
      </c>
      <c r="G31" s="25"/>
    </row>
    <row r="32" spans="1:7">
      <c r="A32" s="26">
        <f>NOMINA!A32</f>
        <v>27</v>
      </c>
      <c r="B32" s="27" t="str">
        <f>NOMINA!B32</f>
        <v>QUISPE MILAN ADRIAN ANTHONY</v>
      </c>
      <c r="C32" s="215">
        <v>71</v>
      </c>
      <c r="D32" s="24"/>
      <c r="E32" s="24"/>
      <c r="F32" s="177">
        <f t="shared" si="0"/>
        <v>24</v>
      </c>
      <c r="G32" s="25"/>
    </row>
    <row r="33" spans="1:7">
      <c r="A33" s="26">
        <f>NOMINA!A33</f>
        <v>28</v>
      </c>
      <c r="B33" s="27" t="str">
        <f>NOMINA!B33</f>
        <v>ROMAN TITO MATEO</v>
      </c>
      <c r="C33" s="215">
        <v>83</v>
      </c>
      <c r="D33" s="24"/>
      <c r="E33" s="24"/>
      <c r="F33" s="177">
        <f t="shared" si="0"/>
        <v>28</v>
      </c>
      <c r="G33" s="25"/>
    </row>
    <row r="34" spans="1:7">
      <c r="A34" s="26">
        <f>NOMINA!A34</f>
        <v>29</v>
      </c>
      <c r="B34" s="27" t="str">
        <f>NOMINA!B34</f>
        <v xml:space="preserve">SILES MAMANI JUSTIN ANGEL </v>
      </c>
      <c r="C34" s="215">
        <v>68</v>
      </c>
      <c r="D34" s="24"/>
      <c r="E34" s="24"/>
      <c r="F34" s="177">
        <f t="shared" si="0"/>
        <v>23</v>
      </c>
      <c r="G34" s="25"/>
    </row>
    <row r="35" spans="1:7">
      <c r="A35" s="26">
        <f>NOMINA!A35</f>
        <v>30</v>
      </c>
      <c r="B35" s="27" t="str">
        <f>NOMINA!B35</f>
        <v>TERAN COCA DIEGO NICOLAS</v>
      </c>
      <c r="C35" s="215">
        <v>75</v>
      </c>
      <c r="D35" s="24"/>
      <c r="E35" s="24"/>
      <c r="F35" s="177">
        <f t="shared" si="0"/>
        <v>25</v>
      </c>
      <c r="G35" s="25"/>
    </row>
    <row r="36" spans="1:7">
      <c r="A36" s="26">
        <f>NOMINA!A36</f>
        <v>31</v>
      </c>
      <c r="B36" s="27" t="str">
        <f>NOMINA!B36</f>
        <v>URIA LOPEZ SEBASTIAN ARIEL</v>
      </c>
      <c r="C36" s="215">
        <v>76</v>
      </c>
      <c r="D36" s="24"/>
      <c r="E36" s="24"/>
      <c r="F36" s="177">
        <f t="shared" si="0"/>
        <v>25</v>
      </c>
      <c r="G36" s="25"/>
    </row>
    <row r="37" spans="1:7">
      <c r="A37" s="26">
        <f>NOMINA!A37</f>
        <v>32</v>
      </c>
      <c r="B37" s="27" t="str">
        <f>NOMINA!B37</f>
        <v>VASQUEZ ESPINOZA JHONATAN YAYCOB</v>
      </c>
      <c r="C37" s="215">
        <v>55</v>
      </c>
      <c r="D37" s="24"/>
      <c r="E37" s="24"/>
      <c r="F37" s="177">
        <f t="shared" si="0"/>
        <v>18</v>
      </c>
      <c r="G37" s="25"/>
    </row>
    <row r="38" spans="1:7">
      <c r="A38" s="26">
        <f>NOMINA!A38</f>
        <v>33</v>
      </c>
      <c r="B38" s="27" t="str">
        <f>NOMINA!B38</f>
        <v>VEIZAGA LEDEZMA SEBASTIAN</v>
      </c>
      <c r="C38" s="215">
        <v>77</v>
      </c>
      <c r="D38" s="24"/>
      <c r="E38" s="24"/>
      <c r="F38" s="177">
        <f t="shared" si="0"/>
        <v>26</v>
      </c>
      <c r="G38" s="25"/>
    </row>
    <row r="39" spans="1:7">
      <c r="A39" s="26">
        <f>NOMINA!A39</f>
        <v>34</v>
      </c>
      <c r="B39" s="27" t="str">
        <f>NOMINA!B39</f>
        <v>VILLARROEL CUCHILLO HUGO SEBASTIAN</v>
      </c>
      <c r="C39" s="215">
        <v>47</v>
      </c>
      <c r="D39" s="24"/>
      <c r="E39" s="24"/>
      <c r="F39" s="177">
        <f t="shared" si="0"/>
        <v>16</v>
      </c>
      <c r="G39" s="25"/>
    </row>
    <row r="40" spans="1:7">
      <c r="A40" s="26">
        <f>NOMINA!A40</f>
        <v>35</v>
      </c>
      <c r="B40" s="27" t="str">
        <f>NOMINA!B40</f>
        <v>ZAMBRANA MENDEZ MIRCO ALEXANDER</v>
      </c>
      <c r="C40" s="215">
        <v>69</v>
      </c>
      <c r="D40" s="24"/>
      <c r="E40" s="24"/>
      <c r="F40" s="177">
        <f t="shared" si="0"/>
        <v>23</v>
      </c>
      <c r="G40" s="25"/>
    </row>
    <row r="41" spans="1:7">
      <c r="A41" s="26">
        <f>NOMINA!A41</f>
        <v>36</v>
      </c>
      <c r="B41" s="27">
        <f>NOMINA!B41</f>
        <v>0</v>
      </c>
      <c r="C41" s="215"/>
      <c r="D41" s="24"/>
      <c r="E41" s="24"/>
      <c r="F41" s="177" t="str">
        <f t="shared" si="0"/>
        <v xml:space="preserve"> </v>
      </c>
      <c r="G41" s="25"/>
    </row>
    <row r="42" spans="1:7">
      <c r="A42" s="26">
        <f>NOMINA!A42</f>
        <v>37</v>
      </c>
      <c r="B42" s="27">
        <f>NOMINA!B42</f>
        <v>0</v>
      </c>
      <c r="C42" s="215"/>
      <c r="D42" s="24"/>
      <c r="E42" s="24"/>
      <c r="F42" s="177" t="str">
        <f t="shared" si="0"/>
        <v xml:space="preserve"> </v>
      </c>
      <c r="G42" s="25"/>
    </row>
    <row r="43" spans="1:7">
      <c r="A43" s="26">
        <f>NOMINA!A43</f>
        <v>38</v>
      </c>
      <c r="B43" s="27">
        <f>NOMINA!B43</f>
        <v>0</v>
      </c>
      <c r="C43" s="215"/>
      <c r="D43" s="24"/>
      <c r="E43" s="24"/>
      <c r="F43" s="177" t="str">
        <f t="shared" si="0"/>
        <v xml:space="preserve"> </v>
      </c>
      <c r="G43" s="25"/>
    </row>
    <row r="44" spans="1:7">
      <c r="A44" s="26">
        <f>NOMINA!A44</f>
        <v>39</v>
      </c>
      <c r="B44" s="27">
        <f>NOMINA!B44</f>
        <v>0</v>
      </c>
      <c r="C44" s="215"/>
      <c r="D44" s="24"/>
      <c r="E44" s="24"/>
      <c r="F44" s="177" t="str">
        <f t="shared" si="0"/>
        <v xml:space="preserve"> </v>
      </c>
      <c r="G44" s="25"/>
    </row>
    <row r="45" spans="1:7">
      <c r="A45" s="26">
        <f>NOMINA!A45</f>
        <v>40</v>
      </c>
      <c r="B45" s="224">
        <f>NOMINA!B45</f>
        <v>0</v>
      </c>
      <c r="C45" s="218"/>
      <c r="D45" s="219"/>
      <c r="E45" s="219"/>
      <c r="F45" s="223" t="str">
        <f t="shared" si="0"/>
        <v xml:space="preserve"> </v>
      </c>
      <c r="G45" s="220"/>
    </row>
    <row r="46" spans="1:7">
      <c r="A46" s="26">
        <f>NOMINA!A46</f>
        <v>41</v>
      </c>
      <c r="B46" s="188">
        <f>NOMINA!B46</f>
        <v>0</v>
      </c>
      <c r="C46" s="225"/>
      <c r="D46" s="221"/>
      <c r="E46" s="221"/>
      <c r="F46" s="216" t="str">
        <f t="shared" si="0"/>
        <v xml:space="preserve"> </v>
      </c>
      <c r="G46" s="221"/>
    </row>
    <row r="47" spans="1:7">
      <c r="A47" s="26">
        <f>NOMINA!A47</f>
        <v>42</v>
      </c>
      <c r="B47" s="188">
        <f>NOMINA!B47</f>
        <v>0</v>
      </c>
      <c r="C47" s="221"/>
      <c r="D47" s="221"/>
      <c r="E47" s="221"/>
      <c r="F47" s="216" t="str">
        <f t="shared" si="0"/>
        <v xml:space="preserve"> </v>
      </c>
      <c r="G47" s="221"/>
    </row>
    <row r="48" spans="1:7">
      <c r="A48" s="26">
        <f>NOMINA!A48</f>
        <v>43</v>
      </c>
      <c r="B48" s="188">
        <f>NOMINA!B48</f>
        <v>0</v>
      </c>
      <c r="C48" s="221"/>
      <c r="D48" s="221"/>
      <c r="E48" s="221"/>
      <c r="F48" s="216" t="str">
        <f t="shared" si="0"/>
        <v xml:space="preserve"> </v>
      </c>
      <c r="G48" s="221"/>
    </row>
    <row r="49" spans="1:7">
      <c r="A49" s="26">
        <f>NOMINA!A49</f>
        <v>44</v>
      </c>
      <c r="B49" s="188">
        <f>NOMINA!B49</f>
        <v>0</v>
      </c>
      <c r="C49" s="221"/>
      <c r="D49" s="221"/>
      <c r="E49" s="221"/>
      <c r="F49" s="216" t="str">
        <f t="shared" si="0"/>
        <v xml:space="preserve"> </v>
      </c>
      <c r="G49" s="221"/>
    </row>
    <row r="50" spans="1:7">
      <c r="A50" s="26">
        <f>NOMINA!A50</f>
        <v>45</v>
      </c>
      <c r="B50" s="188">
        <f>NOMINA!B50</f>
        <v>0</v>
      </c>
      <c r="C50" s="221"/>
      <c r="D50" s="221"/>
      <c r="E50" s="221"/>
      <c r="F50" s="216" t="str">
        <f t="shared" si="0"/>
        <v xml:space="preserve"> </v>
      </c>
      <c r="G50" s="221"/>
    </row>
  </sheetData>
  <protectedRanges>
    <protectedRange sqref="G6:G45 D6:E45" name="Rango1"/>
  </protectedRanges>
  <customSheetViews>
    <customSheetView guid="{2AA0188C-879C-4D95-82F5-15F4B34AA912}">
      <selection activeCell="S13" sqref="S13"/>
      <pageMargins left="0.7" right="0.7" top="0.75" bottom="0.75" header="0.3" footer="0.3"/>
    </customSheetView>
  </customSheetViews>
  <mergeCells count="4">
    <mergeCell ref="F4:G4"/>
    <mergeCell ref="A4:A5"/>
    <mergeCell ref="B4:B5"/>
    <mergeCell ref="C2:G2"/>
  </mergeCells>
  <conditionalFormatting sqref="C6:C50">
    <cfRule type="cellIs" dxfId="25" priority="2" operator="lessThan">
      <formula>35</formula>
    </cfRule>
    <cfRule type="cellIs" dxfId="24" priority="3" operator="lessThan">
      <formula>51</formula>
    </cfRule>
  </conditionalFormatting>
  <dataValidations count="1">
    <dataValidation type="decimal" allowBlank="1" showInputMessage="1" showErrorMessage="1" sqref="C6:C46" xr:uid="{00000000-0002-0000-0A00-000000000000}">
      <formula1>35</formula1>
      <formula2>100</formula2>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2">
    <tabColor theme="3" tint="0.39997558519241921"/>
  </sheetPr>
  <dimension ref="A1:G50"/>
  <sheetViews>
    <sheetView topLeftCell="A16" workbookViewId="0">
      <selection activeCell="D12" sqref="D12"/>
    </sheetView>
  </sheetViews>
  <sheetFormatPr defaultColWidth="11.42578125" defaultRowHeight="15"/>
  <cols>
    <col min="1" max="1" width="4.28515625" customWidth="1"/>
    <col min="2" max="2" width="45.140625" bestFit="1" customWidth="1"/>
    <col min="3" max="6" width="8.7109375" customWidth="1"/>
    <col min="7" max="7" width="15.5703125" customWidth="1"/>
  </cols>
  <sheetData>
    <row r="1" spans="1:7">
      <c r="A1" s="18"/>
      <c r="B1" s="18"/>
      <c r="C1" s="18"/>
      <c r="D1" s="18"/>
      <c r="E1" s="18"/>
      <c r="F1" s="18"/>
      <c r="G1" s="18"/>
    </row>
    <row r="2" spans="1:7" ht="18.75" customHeight="1">
      <c r="A2" s="19"/>
      <c r="B2" s="20" t="str">
        <f>NOMINA!$B$2</f>
        <v>CURSO 2A</v>
      </c>
      <c r="C2" s="21" t="s">
        <v>6</v>
      </c>
      <c r="D2" s="268" t="s">
        <v>65</v>
      </c>
      <c r="E2" s="268"/>
      <c r="F2" s="268"/>
      <c r="G2" s="18"/>
    </row>
    <row r="3" spans="1:7" ht="15.75" thickBot="1">
      <c r="A3" s="18"/>
      <c r="B3" s="18"/>
      <c r="C3" s="18"/>
      <c r="D3" s="18"/>
      <c r="E3" s="18"/>
      <c r="F3" s="18"/>
      <c r="G3" s="18"/>
    </row>
    <row r="4" spans="1:7" ht="15.75" customHeight="1" thickBot="1">
      <c r="A4" s="264" t="s">
        <v>0</v>
      </c>
      <c r="B4" s="266" t="s">
        <v>1</v>
      </c>
      <c r="C4" s="173" t="s">
        <v>81</v>
      </c>
      <c r="D4" s="173" t="s">
        <v>82</v>
      </c>
      <c r="E4" s="173" t="s">
        <v>83</v>
      </c>
      <c r="F4" s="262" t="s">
        <v>32</v>
      </c>
      <c r="G4" s="263"/>
    </row>
    <row r="5" spans="1:7" ht="44.25" customHeight="1">
      <c r="A5" s="265"/>
      <c r="B5" s="267"/>
      <c r="C5" s="174" t="s">
        <v>33</v>
      </c>
      <c r="D5" s="174" t="s">
        <v>33</v>
      </c>
      <c r="E5" s="174" t="s">
        <v>33</v>
      </c>
      <c r="F5" s="175" t="s">
        <v>34</v>
      </c>
      <c r="G5" s="176" t="s">
        <v>80</v>
      </c>
    </row>
    <row r="6" spans="1:7" ht="15.75">
      <c r="A6" s="26">
        <f>NOMINA!A6</f>
        <v>1</v>
      </c>
      <c r="B6" s="27" t="str">
        <f>NOMINA!B6</f>
        <v>ABREU MARRERO LIZ DANIELA</v>
      </c>
      <c r="C6" s="198">
        <f>[1]CENTRALIZADOR!C7</f>
        <v>64.666666666666671</v>
      </c>
      <c r="D6" s="24"/>
      <c r="E6" s="24"/>
      <c r="F6" s="177">
        <f t="shared" ref="F6:F50" si="0">IF(ROUND((C6+D6+E6)/3,0)&gt;0,ROUND((C6+D6+E6)/3,0)," ")</f>
        <v>22</v>
      </c>
      <c r="G6" s="25"/>
    </row>
    <row r="7" spans="1:7" ht="15.75">
      <c r="A7" s="26">
        <f>NOMINA!A7</f>
        <v>2</v>
      </c>
      <c r="B7" s="27" t="str">
        <f>NOMINA!B7</f>
        <v>ALIAGA SAAVEDRA MARCU MAURICIO</v>
      </c>
      <c r="C7" s="198">
        <f>[1]CENTRALIZADOR!C8</f>
        <v>62.416666666666671</v>
      </c>
      <c r="D7" s="24"/>
      <c r="E7" s="24"/>
      <c r="F7" s="177">
        <f t="shared" si="0"/>
        <v>21</v>
      </c>
      <c r="G7" s="25"/>
    </row>
    <row r="8" spans="1:7" ht="15.75">
      <c r="A8" s="26">
        <f>NOMINA!A8</f>
        <v>3</v>
      </c>
      <c r="B8" s="27" t="str">
        <f>NOMINA!B8</f>
        <v>ANTEZANA CACHI JOSE MAXWEL</v>
      </c>
      <c r="C8" s="198">
        <f>[1]CENTRALIZADOR!C9</f>
        <v>70.333333333333343</v>
      </c>
      <c r="D8" s="24"/>
      <c r="E8" s="24"/>
      <c r="F8" s="177">
        <f t="shared" si="0"/>
        <v>23</v>
      </c>
      <c r="G8" s="25"/>
    </row>
    <row r="9" spans="1:7" ht="15.75">
      <c r="A9" s="26">
        <f>NOMINA!A9</f>
        <v>4</v>
      </c>
      <c r="B9" s="27" t="str">
        <f>NOMINA!B9</f>
        <v>ARIZACA SALGUERO SANTIAGO</v>
      </c>
      <c r="C9" s="198">
        <f>[1]CENTRALIZADOR!C10</f>
        <v>51.75</v>
      </c>
      <c r="D9" s="24"/>
      <c r="E9" s="24"/>
      <c r="F9" s="177">
        <f t="shared" si="0"/>
        <v>17</v>
      </c>
      <c r="G9" s="25"/>
    </row>
    <row r="10" spans="1:7" ht="15.75">
      <c r="A10" s="26">
        <f>NOMINA!A10</f>
        <v>5</v>
      </c>
      <c r="B10" s="27" t="str">
        <f>NOMINA!B10</f>
        <v>BAUTISTA GARCIA ALISON LUCIANA</v>
      </c>
      <c r="C10" s="198">
        <f>[1]CENTRALIZADOR!C11</f>
        <v>78.833333333333343</v>
      </c>
      <c r="D10" s="24"/>
      <c r="E10" s="24"/>
      <c r="F10" s="177">
        <f t="shared" si="0"/>
        <v>26</v>
      </c>
      <c r="G10" s="25"/>
    </row>
    <row r="11" spans="1:7" ht="15.75">
      <c r="A11" s="26">
        <f>NOMINA!A11</f>
        <v>6</v>
      </c>
      <c r="B11" s="27" t="str">
        <f>NOMINA!B11</f>
        <v>BOLIVAR REVOLLO NIVARDO ADOLFO</v>
      </c>
      <c r="C11" s="198">
        <f>[1]CENTRALIZADOR!C12</f>
        <v>77.166666666666671</v>
      </c>
      <c r="D11" s="24"/>
      <c r="E11" s="24"/>
      <c r="F11" s="177">
        <f t="shared" si="0"/>
        <v>26</v>
      </c>
      <c r="G11" s="25"/>
    </row>
    <row r="12" spans="1:7" ht="15.75">
      <c r="A12" s="26">
        <f>NOMINA!A12</f>
        <v>7</v>
      </c>
      <c r="B12" s="27" t="str">
        <f>NOMINA!B12</f>
        <v>CADIMA SOLIZ NICOLAS</v>
      </c>
      <c r="C12" s="198">
        <f>[1]CENTRALIZADOR!C13</f>
        <v>66.166666666666671</v>
      </c>
      <c r="D12" s="24"/>
      <c r="E12" s="24"/>
      <c r="F12" s="177">
        <f t="shared" si="0"/>
        <v>22</v>
      </c>
      <c r="G12" s="25"/>
    </row>
    <row r="13" spans="1:7" ht="15.75">
      <c r="A13" s="26">
        <f>NOMINA!A13</f>
        <v>8</v>
      </c>
      <c r="B13" s="27" t="str">
        <f>NOMINA!B13</f>
        <v>CALLE PEREZ ANDREA BELEN</v>
      </c>
      <c r="C13" s="198">
        <f>[1]CENTRALIZADOR!C14</f>
        <v>75.666666666666657</v>
      </c>
      <c r="D13" s="24"/>
      <c r="E13" s="24"/>
      <c r="F13" s="177">
        <f t="shared" si="0"/>
        <v>25</v>
      </c>
      <c r="G13" s="25"/>
    </row>
    <row r="14" spans="1:7" ht="15.75">
      <c r="A14" s="26">
        <f>NOMINA!A14</f>
        <v>9</v>
      </c>
      <c r="B14" s="27" t="str">
        <f>NOMINA!B14</f>
        <v>CHAVEZ AMURRIO SEBASTIAN FABIAN</v>
      </c>
      <c r="C14" s="198">
        <f>[1]CENTRALIZADOR!C15</f>
        <v>52.25</v>
      </c>
      <c r="D14" s="24"/>
      <c r="E14" s="24"/>
      <c r="F14" s="177">
        <f t="shared" si="0"/>
        <v>17</v>
      </c>
      <c r="G14" s="25"/>
    </row>
    <row r="15" spans="1:7" ht="15.75">
      <c r="A15" s="26">
        <f>NOMINA!A15</f>
        <v>10</v>
      </c>
      <c r="B15" s="27" t="str">
        <f>NOMINA!B15</f>
        <v>CHOQUE ARISPE YURIANA LUCIA</v>
      </c>
      <c r="C15" s="198">
        <f>[1]CENTRALIZADOR!C16</f>
        <v>63.75</v>
      </c>
      <c r="D15" s="24"/>
      <c r="E15" s="24"/>
      <c r="F15" s="177">
        <f t="shared" si="0"/>
        <v>21</v>
      </c>
      <c r="G15" s="25"/>
    </row>
    <row r="16" spans="1:7" ht="15.75">
      <c r="A16" s="26">
        <f>NOMINA!A16</f>
        <v>11</v>
      </c>
      <c r="B16" s="27" t="str">
        <f>NOMINA!B16</f>
        <v>CHOQUE PERALTA JHOEL ELIAZAR</v>
      </c>
      <c r="C16" s="198">
        <f>[1]CENTRALIZADOR!C17</f>
        <v>68.833333333333329</v>
      </c>
      <c r="D16" s="24"/>
      <c r="E16" s="24"/>
      <c r="F16" s="177">
        <f t="shared" si="0"/>
        <v>23</v>
      </c>
      <c r="G16" s="25"/>
    </row>
    <row r="17" spans="1:7" ht="15.75">
      <c r="A17" s="26">
        <f>NOMINA!A17</f>
        <v>12</v>
      </c>
      <c r="B17" s="27" t="str">
        <f>NOMINA!B17</f>
        <v>COPA RIVERO MARCIA MARCELA</v>
      </c>
      <c r="C17" s="198">
        <f>[1]CENTRALIZADOR!C18</f>
        <v>70.666666666666671</v>
      </c>
      <c r="D17" s="24"/>
      <c r="E17" s="24"/>
      <c r="F17" s="177">
        <f t="shared" si="0"/>
        <v>24</v>
      </c>
      <c r="G17" s="25"/>
    </row>
    <row r="18" spans="1:7" ht="15.75">
      <c r="A18" s="26">
        <f>NOMINA!A18</f>
        <v>13</v>
      </c>
      <c r="B18" s="27" t="str">
        <f>NOMINA!B18</f>
        <v>CORIA URUÑO CHRISTOPER GABRIEL</v>
      </c>
      <c r="C18" s="198">
        <f>[1]CENTRALIZADOR!C19</f>
        <v>61.416666666666671</v>
      </c>
      <c r="D18" s="24"/>
      <c r="E18" s="24"/>
      <c r="F18" s="177">
        <f t="shared" si="0"/>
        <v>20</v>
      </c>
      <c r="G18" s="25"/>
    </row>
    <row r="19" spans="1:7" ht="15.75">
      <c r="A19" s="26">
        <f>NOMINA!A19</f>
        <v>14</v>
      </c>
      <c r="B19" s="27" t="str">
        <f>NOMINA!B19</f>
        <v>FLORES BALLESTEROS LEANDRO FRANK</v>
      </c>
      <c r="C19" s="198">
        <f>[1]CENTRALIZADOR!C20</f>
        <v>65.666666666666671</v>
      </c>
      <c r="D19" s="24"/>
      <c r="E19" s="24"/>
      <c r="F19" s="177">
        <f t="shared" si="0"/>
        <v>22</v>
      </c>
      <c r="G19" s="25"/>
    </row>
    <row r="20" spans="1:7" ht="15.75">
      <c r="A20" s="26">
        <f>NOMINA!A20</f>
        <v>15</v>
      </c>
      <c r="B20" s="27" t="str">
        <f>NOMINA!B20</f>
        <v>GONZALES MOLINA ARIANET BELEN</v>
      </c>
      <c r="C20" s="198">
        <f>[1]CENTRALIZADOR!C21</f>
        <v>74.583333333333343</v>
      </c>
      <c r="D20" s="24"/>
      <c r="E20" s="24"/>
      <c r="F20" s="177">
        <f t="shared" si="0"/>
        <v>25</v>
      </c>
      <c r="G20" s="25"/>
    </row>
    <row r="21" spans="1:7" ht="15.75">
      <c r="A21" s="26">
        <f>NOMINA!A21</f>
        <v>16</v>
      </c>
      <c r="B21" s="27" t="str">
        <f>NOMINA!B21</f>
        <v>GUAQUIPA BECERRA NICOLAS ALEX</v>
      </c>
      <c r="C21" s="198">
        <f>[1]CENTRALIZADOR!C22</f>
        <v>79.666666666666657</v>
      </c>
      <c r="D21" s="24"/>
      <c r="E21" s="24"/>
      <c r="F21" s="177">
        <f t="shared" si="0"/>
        <v>27</v>
      </c>
      <c r="G21" s="25"/>
    </row>
    <row r="22" spans="1:7" ht="15.75">
      <c r="A22" s="26">
        <f>NOMINA!A22</f>
        <v>17</v>
      </c>
      <c r="B22" s="27" t="str">
        <f>NOMINA!B22</f>
        <v>HUANQUIRI MAMANI JHOSMAR</v>
      </c>
      <c r="C22" s="198">
        <f>[1]CENTRALIZADOR!C23</f>
        <v>68.416666666666671</v>
      </c>
      <c r="D22" s="24"/>
      <c r="E22" s="24"/>
      <c r="F22" s="177">
        <f t="shared" si="0"/>
        <v>23</v>
      </c>
      <c r="G22" s="25"/>
    </row>
    <row r="23" spans="1:7" ht="15.75">
      <c r="A23" s="26">
        <f>NOMINA!A23</f>
        <v>18</v>
      </c>
      <c r="B23" s="27" t="str">
        <f>NOMINA!B23</f>
        <v>JOVE ARNEZ ANDREA LUCIANA</v>
      </c>
      <c r="C23" s="198">
        <f>[1]CENTRALIZADOR!C24</f>
        <v>54.166666666666671</v>
      </c>
      <c r="D23" s="24"/>
      <c r="E23" s="24"/>
      <c r="F23" s="177">
        <f t="shared" si="0"/>
        <v>18</v>
      </c>
      <c r="G23" s="25"/>
    </row>
    <row r="24" spans="1:7" ht="15.75">
      <c r="A24" s="26">
        <f>NOMINA!A24</f>
        <v>19</v>
      </c>
      <c r="B24" s="27" t="str">
        <f>NOMINA!B24</f>
        <v>LAFUENTE ORTUÑO VICTORIA VALENTINA</v>
      </c>
      <c r="C24" s="198">
        <f>[1]CENTRALIZADOR!C25</f>
        <v>58</v>
      </c>
      <c r="D24" s="24"/>
      <c r="E24" s="24"/>
      <c r="F24" s="177">
        <f t="shared" si="0"/>
        <v>19</v>
      </c>
      <c r="G24" s="25"/>
    </row>
    <row r="25" spans="1:7" ht="15.75">
      <c r="A25" s="26">
        <f>NOMINA!A25</f>
        <v>20</v>
      </c>
      <c r="B25" s="27" t="str">
        <f>NOMINA!B25</f>
        <v>MAGNANI CANAVIRI JOSUE JHONATHAN</v>
      </c>
      <c r="C25" s="198">
        <f>[1]CENTRALIZADOR!C26</f>
        <v>66.75</v>
      </c>
      <c r="D25" s="24"/>
      <c r="E25" s="24"/>
      <c r="F25" s="177">
        <f t="shared" si="0"/>
        <v>22</v>
      </c>
      <c r="G25" s="25"/>
    </row>
    <row r="26" spans="1:7" ht="15.75">
      <c r="A26" s="26">
        <f>NOMINA!A26</f>
        <v>21</v>
      </c>
      <c r="B26" s="27" t="str">
        <f>NOMINA!B26</f>
        <v>MERUVIA GUTIERREZ ASHLY SCARLETT</v>
      </c>
      <c r="C26" s="198">
        <f>[1]CENTRALIZADOR!C27</f>
        <v>93.666666666666657</v>
      </c>
      <c r="D26" s="24"/>
      <c r="E26" s="24"/>
      <c r="F26" s="177">
        <f t="shared" si="0"/>
        <v>31</v>
      </c>
      <c r="G26" s="25"/>
    </row>
    <row r="27" spans="1:7" ht="15.75">
      <c r="A27" s="26">
        <f>NOMINA!A27</f>
        <v>22</v>
      </c>
      <c r="B27" s="27" t="str">
        <f>NOMINA!B27</f>
        <v>MONTAÑO QUILO BENJAMIN GONZALO</v>
      </c>
      <c r="C27" s="198">
        <f>[1]CENTRALIZADOR!C28</f>
        <v>58.833333333333329</v>
      </c>
      <c r="D27" s="24"/>
      <c r="E27" s="24"/>
      <c r="F27" s="177">
        <f t="shared" si="0"/>
        <v>20</v>
      </c>
      <c r="G27" s="25"/>
    </row>
    <row r="28" spans="1:7" ht="15.75">
      <c r="A28" s="26">
        <f>NOMINA!A28</f>
        <v>23</v>
      </c>
      <c r="B28" s="27" t="str">
        <f>NOMINA!B28</f>
        <v>PANIAGUA VARGAS KEYLA</v>
      </c>
      <c r="C28" s="198">
        <f>[1]CENTRALIZADOR!C29</f>
        <v>78.666666666666657</v>
      </c>
      <c r="D28" s="24"/>
      <c r="E28" s="24"/>
      <c r="F28" s="177">
        <f t="shared" si="0"/>
        <v>26</v>
      </c>
      <c r="G28" s="25"/>
    </row>
    <row r="29" spans="1:7" ht="15.75">
      <c r="A29" s="26">
        <f>NOMINA!A29</f>
        <v>24</v>
      </c>
      <c r="B29" s="27" t="str">
        <f>NOMINA!B29</f>
        <v>PATZI GUARACHI MARIA BELEN</v>
      </c>
      <c r="C29" s="198">
        <f>[1]CENTRALIZADOR!C30</f>
        <v>73.166666666666657</v>
      </c>
      <c r="D29" s="24"/>
      <c r="E29" s="24"/>
      <c r="F29" s="177">
        <f t="shared" si="0"/>
        <v>24</v>
      </c>
      <c r="G29" s="25"/>
    </row>
    <row r="30" spans="1:7" ht="15.75">
      <c r="A30" s="26">
        <f>NOMINA!A30</f>
        <v>25</v>
      </c>
      <c r="B30" s="27" t="str">
        <f>NOMINA!B30</f>
        <v>QUENALLATA CESPEDES LUMAIDA YANISS</v>
      </c>
      <c r="C30" s="198">
        <f>[1]CENTRALIZADOR!C31</f>
        <v>55.416666666666664</v>
      </c>
      <c r="D30" s="24"/>
      <c r="E30" s="24"/>
      <c r="F30" s="177">
        <f t="shared" si="0"/>
        <v>18</v>
      </c>
      <c r="G30" s="25"/>
    </row>
    <row r="31" spans="1:7" ht="15.75">
      <c r="A31" s="26">
        <f>NOMINA!A31</f>
        <v>26</v>
      </c>
      <c r="B31" s="27" t="str">
        <f>NOMINA!B31</f>
        <v>QUISPE ESCARZA CIELO</v>
      </c>
      <c r="C31" s="198">
        <f>[1]CENTRALIZADOR!C32</f>
        <v>62.833333333333329</v>
      </c>
      <c r="D31" s="24"/>
      <c r="E31" s="24"/>
      <c r="F31" s="177">
        <f t="shared" si="0"/>
        <v>21</v>
      </c>
      <c r="G31" s="25"/>
    </row>
    <row r="32" spans="1:7" ht="15.75">
      <c r="A32" s="26">
        <f>NOMINA!A32</f>
        <v>27</v>
      </c>
      <c r="B32" s="27" t="str">
        <f>NOMINA!B32</f>
        <v>QUISPE MILAN ADRIAN ANTHONY</v>
      </c>
      <c r="C32" s="198">
        <f>[1]CENTRALIZADOR!C33</f>
        <v>60.833333333333329</v>
      </c>
      <c r="D32" s="24"/>
      <c r="E32" s="24"/>
      <c r="F32" s="177">
        <f t="shared" si="0"/>
        <v>20</v>
      </c>
      <c r="G32" s="25"/>
    </row>
    <row r="33" spans="1:7" ht="15.75">
      <c r="A33" s="26">
        <f>NOMINA!A33</f>
        <v>28</v>
      </c>
      <c r="B33" s="27" t="str">
        <f>NOMINA!B33</f>
        <v>ROMAN TITO MATEO</v>
      </c>
      <c r="C33" s="198">
        <f>[1]CENTRALIZADOR!C34</f>
        <v>78.833333333333343</v>
      </c>
      <c r="D33" s="24"/>
      <c r="E33" s="24"/>
      <c r="F33" s="177">
        <f t="shared" si="0"/>
        <v>26</v>
      </c>
      <c r="G33" s="25"/>
    </row>
    <row r="34" spans="1:7" ht="15.75">
      <c r="A34" s="26">
        <f>NOMINA!A34</f>
        <v>29</v>
      </c>
      <c r="B34" s="27" t="str">
        <f>NOMINA!B34</f>
        <v xml:space="preserve">SILES MAMANI JUSTIN ANGEL </v>
      </c>
      <c r="C34" s="198">
        <f>[1]CENTRALIZADOR!C35</f>
        <v>62.333333333333329</v>
      </c>
      <c r="D34" s="24"/>
      <c r="E34" s="24"/>
      <c r="F34" s="177">
        <f t="shared" si="0"/>
        <v>21</v>
      </c>
      <c r="G34" s="25"/>
    </row>
    <row r="35" spans="1:7" ht="15.75">
      <c r="A35" s="26">
        <f>NOMINA!A35</f>
        <v>30</v>
      </c>
      <c r="B35" s="27" t="str">
        <f>NOMINA!B35</f>
        <v>TERAN COCA DIEGO NICOLAS</v>
      </c>
      <c r="C35" s="198">
        <f>[1]CENTRALIZADOR!C36</f>
        <v>68.666666666666657</v>
      </c>
      <c r="D35" s="24"/>
      <c r="E35" s="24"/>
      <c r="F35" s="177">
        <f t="shared" si="0"/>
        <v>23</v>
      </c>
      <c r="G35" s="25"/>
    </row>
    <row r="36" spans="1:7" ht="15.75">
      <c r="A36" s="26">
        <f>NOMINA!A36</f>
        <v>31</v>
      </c>
      <c r="B36" s="27" t="str">
        <f>NOMINA!B36</f>
        <v>URIA LOPEZ SEBASTIAN ARIEL</v>
      </c>
      <c r="C36" s="198">
        <f>[1]CENTRALIZADOR!C37</f>
        <v>62.166666666666671</v>
      </c>
      <c r="D36" s="24"/>
      <c r="E36" s="24"/>
      <c r="F36" s="177">
        <f t="shared" si="0"/>
        <v>21</v>
      </c>
      <c r="G36" s="25"/>
    </row>
    <row r="37" spans="1:7" ht="15.75">
      <c r="A37" s="26">
        <f>NOMINA!A37</f>
        <v>32</v>
      </c>
      <c r="B37" s="27" t="str">
        <f>NOMINA!B37</f>
        <v>VASQUEZ ESPINOZA JHONATAN YAYCOB</v>
      </c>
      <c r="C37" s="198">
        <f>[1]CENTRALIZADOR!C38</f>
        <v>64</v>
      </c>
      <c r="D37" s="24"/>
      <c r="E37" s="24"/>
      <c r="F37" s="177">
        <f t="shared" si="0"/>
        <v>21</v>
      </c>
      <c r="G37" s="25"/>
    </row>
    <row r="38" spans="1:7" ht="15.75">
      <c r="A38" s="26">
        <f>NOMINA!A38</f>
        <v>33</v>
      </c>
      <c r="B38" s="27" t="str">
        <f>NOMINA!B38</f>
        <v>VEIZAGA LEDEZMA SEBASTIAN</v>
      </c>
      <c r="C38" s="198">
        <f>[1]CENTRALIZADOR!C39</f>
        <v>66.583333333333329</v>
      </c>
      <c r="D38" s="24"/>
      <c r="E38" s="24"/>
      <c r="F38" s="177">
        <f t="shared" si="0"/>
        <v>22</v>
      </c>
      <c r="G38" s="25"/>
    </row>
    <row r="39" spans="1:7" ht="15.75">
      <c r="A39" s="26">
        <f>NOMINA!A39</f>
        <v>34</v>
      </c>
      <c r="B39" s="27" t="str">
        <f>NOMINA!B39</f>
        <v>VILLARROEL CUCHILLO HUGO SEBASTIAN</v>
      </c>
      <c r="C39" s="198">
        <f>[1]CENTRALIZADOR!C40</f>
        <v>61.083333333333336</v>
      </c>
      <c r="D39" s="24"/>
      <c r="E39" s="24"/>
      <c r="F39" s="177">
        <f t="shared" si="0"/>
        <v>20</v>
      </c>
      <c r="G39" s="25"/>
    </row>
    <row r="40" spans="1:7" ht="15.75">
      <c r="A40" s="26">
        <f>NOMINA!A40</f>
        <v>35</v>
      </c>
      <c r="B40" s="27" t="str">
        <f>NOMINA!B40</f>
        <v>ZAMBRANA MENDEZ MIRCO ALEXANDER</v>
      </c>
      <c r="C40" s="198">
        <f>[1]CENTRALIZADOR!C41</f>
        <v>51.583333333333329</v>
      </c>
      <c r="D40" s="24"/>
      <c r="E40" s="24"/>
      <c r="F40" s="177">
        <f t="shared" si="0"/>
        <v>17</v>
      </c>
      <c r="G40" s="25"/>
    </row>
    <row r="41" spans="1:7" ht="15.75">
      <c r="A41" s="26">
        <f>NOMINA!A41</f>
        <v>36</v>
      </c>
      <c r="B41" s="27">
        <f>NOMINA!B41</f>
        <v>0</v>
      </c>
      <c r="C41" s="198"/>
      <c r="D41" s="24"/>
      <c r="E41" s="24"/>
      <c r="F41" s="177" t="str">
        <f t="shared" si="0"/>
        <v xml:space="preserve"> </v>
      </c>
      <c r="G41" s="25"/>
    </row>
    <row r="42" spans="1:7" ht="15.75">
      <c r="A42" s="26">
        <f>NOMINA!A42</f>
        <v>37</v>
      </c>
      <c r="B42" s="27">
        <f>NOMINA!B42</f>
        <v>0</v>
      </c>
      <c r="C42" s="198"/>
      <c r="D42" s="24"/>
      <c r="E42" s="24"/>
      <c r="F42" s="177" t="str">
        <f t="shared" si="0"/>
        <v xml:space="preserve"> </v>
      </c>
      <c r="G42" s="25"/>
    </row>
    <row r="43" spans="1:7" ht="15.75">
      <c r="A43" s="26">
        <f>NOMINA!A43</f>
        <v>38</v>
      </c>
      <c r="B43" s="27">
        <f>NOMINA!B43</f>
        <v>0</v>
      </c>
      <c r="C43" s="198"/>
      <c r="D43" s="24"/>
      <c r="E43" s="24"/>
      <c r="F43" s="177" t="str">
        <f t="shared" si="0"/>
        <v xml:space="preserve"> </v>
      </c>
      <c r="G43" s="25"/>
    </row>
    <row r="44" spans="1:7" ht="15.75">
      <c r="A44" s="26">
        <f>NOMINA!A44</f>
        <v>39</v>
      </c>
      <c r="B44" s="27">
        <f>NOMINA!B44</f>
        <v>0</v>
      </c>
      <c r="C44" s="198"/>
      <c r="D44" s="24"/>
      <c r="E44" s="24"/>
      <c r="F44" s="177" t="str">
        <f t="shared" si="0"/>
        <v xml:space="preserve"> </v>
      </c>
      <c r="G44" s="25"/>
    </row>
    <row r="45" spans="1:7" ht="15.75">
      <c r="A45" s="26">
        <f>NOMINA!A45</f>
        <v>40</v>
      </c>
      <c r="B45" s="224">
        <f>NOMINA!B45</f>
        <v>0</v>
      </c>
      <c r="C45" s="228"/>
      <c r="D45" s="219"/>
      <c r="E45" s="219"/>
      <c r="F45" s="223" t="str">
        <f t="shared" si="0"/>
        <v xml:space="preserve"> </v>
      </c>
      <c r="G45" s="220"/>
    </row>
    <row r="46" spans="1:7">
      <c r="A46" s="26">
        <f>NOMINA!A46</f>
        <v>41</v>
      </c>
      <c r="B46" s="188">
        <f>NOMINA!B46</f>
        <v>0</v>
      </c>
      <c r="C46" s="221"/>
      <c r="D46" s="221"/>
      <c r="E46" s="221"/>
      <c r="F46" s="216" t="str">
        <f t="shared" si="0"/>
        <v xml:space="preserve"> </v>
      </c>
      <c r="G46" s="221"/>
    </row>
    <row r="47" spans="1:7">
      <c r="A47" s="26">
        <f>NOMINA!A47</f>
        <v>42</v>
      </c>
      <c r="B47" s="188">
        <f>NOMINA!B47</f>
        <v>0</v>
      </c>
      <c r="C47" s="221"/>
      <c r="D47" s="221"/>
      <c r="E47" s="221"/>
      <c r="F47" s="216" t="str">
        <f t="shared" si="0"/>
        <v xml:space="preserve"> </v>
      </c>
      <c r="G47" s="221"/>
    </row>
    <row r="48" spans="1:7">
      <c r="A48" s="26">
        <f>NOMINA!A48</f>
        <v>43</v>
      </c>
      <c r="B48" s="188">
        <f>NOMINA!B48</f>
        <v>0</v>
      </c>
      <c r="C48" s="221"/>
      <c r="D48" s="221"/>
      <c r="E48" s="221"/>
      <c r="F48" s="216" t="str">
        <f t="shared" si="0"/>
        <v xml:space="preserve"> </v>
      </c>
      <c r="G48" s="221"/>
    </row>
    <row r="49" spans="1:7">
      <c r="A49" s="26">
        <f>NOMINA!A49</f>
        <v>44</v>
      </c>
      <c r="B49" s="188">
        <f>NOMINA!B49</f>
        <v>0</v>
      </c>
      <c r="C49" s="221"/>
      <c r="D49" s="221"/>
      <c r="E49" s="221"/>
      <c r="F49" s="216" t="str">
        <f t="shared" si="0"/>
        <v xml:space="preserve"> </v>
      </c>
      <c r="G49" s="221"/>
    </row>
    <row r="50" spans="1:7">
      <c r="A50" s="26">
        <f>NOMINA!A50</f>
        <v>45</v>
      </c>
      <c r="B50" s="188">
        <f>NOMINA!B50</f>
        <v>0</v>
      </c>
      <c r="C50" s="221"/>
      <c r="D50" s="221"/>
      <c r="E50" s="221"/>
      <c r="F50" s="216" t="str">
        <f t="shared" si="0"/>
        <v xml:space="preserve"> </v>
      </c>
      <c r="G50" s="221"/>
    </row>
  </sheetData>
  <protectedRanges>
    <protectedRange sqref="G6:G45 C6:E45" name="Rango1"/>
  </protectedRanges>
  <customSheetViews>
    <customSheetView guid="{2AA0188C-879C-4D95-82F5-15F4B34AA912}">
      <selection activeCell="S19" sqref="S19"/>
      <pageMargins left="0.7" right="0.7" top="0.75" bottom="0.75" header="0.3" footer="0.3"/>
    </customSheetView>
  </customSheetViews>
  <mergeCells count="4">
    <mergeCell ref="F4:G4"/>
    <mergeCell ref="D2:F2"/>
    <mergeCell ref="A4:A5"/>
    <mergeCell ref="B4:B5"/>
  </mergeCells>
  <conditionalFormatting sqref="C6:C50">
    <cfRule type="cellIs" dxfId="23" priority="1" operator="lessThan">
      <formula>35</formula>
    </cfRule>
    <cfRule type="cellIs" dxfId="22" priority="2" operator="lessThan">
      <formula>51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3">
    <tabColor rgb="FFC00000"/>
  </sheetPr>
  <dimension ref="A1:J803"/>
  <sheetViews>
    <sheetView topLeftCell="A766" zoomScale="73" zoomScaleNormal="73" workbookViewId="0">
      <selection activeCell="Q788" sqref="Q788"/>
    </sheetView>
  </sheetViews>
  <sheetFormatPr defaultColWidth="11.42578125" defaultRowHeight="15"/>
  <cols>
    <col min="1" max="1" width="14" customWidth="1"/>
    <col min="2" max="2" width="17.85546875" customWidth="1"/>
    <col min="3" max="5" width="10.7109375" customWidth="1"/>
    <col min="6" max="6" width="15.85546875" customWidth="1"/>
  </cols>
  <sheetData>
    <row r="1" spans="1:9" ht="6" customHeight="1"/>
    <row r="2" spans="1:9" ht="17.25" customHeight="1">
      <c r="A2" s="18"/>
      <c r="B2" s="18"/>
      <c r="C2" s="278" t="s">
        <v>42</v>
      </c>
      <c r="D2" s="278"/>
      <c r="E2" s="278"/>
      <c r="F2" s="18"/>
      <c r="G2" s="18"/>
    </row>
    <row r="3" spans="1:9" ht="14.25" customHeight="1">
      <c r="A3" s="293" t="s">
        <v>108</v>
      </c>
      <c r="B3" s="293"/>
      <c r="C3" s="293"/>
      <c r="D3" s="18"/>
      <c r="E3" s="18"/>
      <c r="F3" s="184"/>
      <c r="G3" s="18"/>
    </row>
    <row r="4" spans="1:9" ht="21.95" customHeight="1">
      <c r="A4" s="287" t="str">
        <f>NOMINA!$B$2</f>
        <v>CURSO 2A</v>
      </c>
      <c r="B4" s="294"/>
      <c r="C4" s="290" t="str">
        <f>NOMINA!B6</f>
        <v>ABREU MARRERO LIZ DANIELA</v>
      </c>
      <c r="D4" s="290"/>
      <c r="E4" s="290"/>
      <c r="F4" s="290"/>
      <c r="G4" s="18"/>
    </row>
    <row r="5" spans="1:9" ht="15.95" customHeight="1">
      <c r="A5" s="279">
        <f>NOMINA!A6</f>
        <v>1</v>
      </c>
      <c r="B5" s="306"/>
      <c r="C5" s="185" t="s">
        <v>5</v>
      </c>
      <c r="D5" s="291" t="s">
        <v>9</v>
      </c>
      <c r="E5" s="292"/>
      <c r="F5" s="179" t="s">
        <v>7</v>
      </c>
      <c r="G5" s="18"/>
    </row>
    <row r="6" spans="1:9" ht="15.95" customHeight="1">
      <c r="A6" s="279"/>
      <c r="B6" s="307"/>
      <c r="C6" s="178">
        <f>NOMINA!C6</f>
        <v>0</v>
      </c>
      <c r="D6" s="295">
        <f>NOMINA!D6</f>
        <v>0</v>
      </c>
      <c r="E6" s="296"/>
      <c r="F6" s="183">
        <f>NOMINA!F6</f>
        <v>0</v>
      </c>
      <c r="G6" s="18"/>
    </row>
    <row r="7" spans="1:9" s="16" customFormat="1" ht="17.100000000000001" customHeight="1">
      <c r="A7" s="275" t="s">
        <v>35</v>
      </c>
      <c r="B7" s="282" t="s">
        <v>37</v>
      </c>
      <c r="C7" s="30" t="s">
        <v>84</v>
      </c>
      <c r="D7" s="30" t="s">
        <v>82</v>
      </c>
      <c r="E7" s="30" t="s">
        <v>83</v>
      </c>
      <c r="F7" s="180" t="s">
        <v>38</v>
      </c>
      <c r="G7" s="31"/>
      <c r="I7" s="17"/>
    </row>
    <row r="8" spans="1:9" s="16" customFormat="1" ht="17.100000000000001" customHeight="1">
      <c r="A8" s="277"/>
      <c r="B8" s="285"/>
      <c r="C8" s="32" t="s">
        <v>33</v>
      </c>
      <c r="D8" s="32" t="s">
        <v>33</v>
      </c>
      <c r="E8" s="32" t="s">
        <v>33</v>
      </c>
      <c r="F8" s="33" t="s">
        <v>33</v>
      </c>
      <c r="G8" s="31"/>
    </row>
    <row r="9" spans="1:9" ht="17.100000000000001" customHeight="1">
      <c r="A9" s="271" t="s">
        <v>45</v>
      </c>
      <c r="B9" s="34" t="s">
        <v>36</v>
      </c>
      <c r="C9" s="35">
        <f>IF(LEN!C6=0," ",LEN!C6)</f>
        <v>54</v>
      </c>
      <c r="D9" s="35" t="str">
        <f>IF(LEN!D6=0," ",LEN!D6)</f>
        <v xml:space="preserve"> </v>
      </c>
      <c r="E9" s="35" t="str">
        <f>IF(LEN!E6=0," ",LEN!E6)</f>
        <v xml:space="preserve"> </v>
      </c>
      <c r="F9" s="35">
        <f>IF(LEN!F6=0," ",LEN!F6)</f>
        <v>18</v>
      </c>
      <c r="G9" s="18"/>
    </row>
    <row r="10" spans="1:9" ht="17.100000000000001" customHeight="1">
      <c r="A10" s="271"/>
      <c r="B10" s="34" t="s">
        <v>10</v>
      </c>
      <c r="C10" s="35">
        <f>IF(ING!C6=0," ",ING!C6)</f>
        <v>60</v>
      </c>
      <c r="D10" s="35" t="str">
        <f>IF(ING!D6=0," ",ING!D6)</f>
        <v xml:space="preserve"> </v>
      </c>
      <c r="E10" s="35" t="str">
        <f>IF(ING!E6=0," ",ING!E6)</f>
        <v xml:space="preserve"> </v>
      </c>
      <c r="F10" s="35">
        <f>IF(ING!F6=0," ",ING!F6)</f>
        <v>20</v>
      </c>
      <c r="G10" s="18"/>
    </row>
    <row r="11" spans="1:9" ht="17.100000000000001" customHeight="1">
      <c r="A11" s="271"/>
      <c r="B11" s="34" t="s">
        <v>61</v>
      </c>
      <c r="C11" s="35">
        <f>IF('C.SOC'!C6=0," ",'C.SOC'!C6)</f>
        <v>73</v>
      </c>
      <c r="D11" s="35" t="str">
        <f>IF('C.SOC'!D6=0," ",'C.SOC'!D6)</f>
        <v xml:space="preserve"> </v>
      </c>
      <c r="E11" s="35" t="str">
        <f>IF('C.SOC'!E6=0," ",'C.SOC'!E6)</f>
        <v xml:space="preserve"> </v>
      </c>
      <c r="F11" s="35">
        <f>IF('C.SOC'!F6=0," ",'C.SOC'!F6)</f>
        <v>24</v>
      </c>
      <c r="G11" s="18"/>
    </row>
    <row r="12" spans="1:9" ht="17.100000000000001" customHeight="1">
      <c r="A12" s="271"/>
      <c r="B12" s="34" t="s">
        <v>43</v>
      </c>
      <c r="C12" s="35">
        <f>IF('E. FIS.'!C6=0," ",'E. FIS.'!C6)</f>
        <v>70</v>
      </c>
      <c r="D12" s="35" t="str">
        <f>IF('E. FIS.'!D6=0," ",'E. FIS.'!D6)</f>
        <v xml:space="preserve"> </v>
      </c>
      <c r="E12" s="35" t="str">
        <f>IF('E. FIS.'!E6=0," ",'E. FIS.'!E6)</f>
        <v xml:space="preserve"> </v>
      </c>
      <c r="F12" s="35">
        <f>IF('E. FIS.'!F6=0," ",'E. FIS.'!F6)</f>
        <v>23</v>
      </c>
      <c r="G12" s="18"/>
    </row>
    <row r="13" spans="1:9" ht="17.100000000000001" customHeight="1">
      <c r="A13" s="271"/>
      <c r="B13" s="34" t="s">
        <v>44</v>
      </c>
      <c r="C13" s="35">
        <f>IF(MUS.!C6=0," ",MUS.!C6)</f>
        <v>94</v>
      </c>
      <c r="D13" s="35" t="str">
        <f>IF(MUS.!D6=0," ",MUS.!D6)</f>
        <v xml:space="preserve"> </v>
      </c>
      <c r="E13" s="35" t="str">
        <f>IF(MUS.!E6=0," ",MUS.!E6)</f>
        <v xml:space="preserve"> </v>
      </c>
      <c r="F13" s="35">
        <f>IF(MUS.!F6=0," ",MUS.!F6)</f>
        <v>31</v>
      </c>
      <c r="G13" s="18"/>
    </row>
    <row r="14" spans="1:9" ht="17.100000000000001" customHeight="1">
      <c r="A14" s="271"/>
      <c r="B14" s="34" t="s">
        <v>11</v>
      </c>
      <c r="C14" s="35">
        <f>IF('A.PL. '!C6=0," ",'A.PL. '!C6)</f>
        <v>71</v>
      </c>
      <c r="D14" s="35" t="str">
        <f>IF('A.PL. '!D6=0," ",'A.PL. '!D6)</f>
        <v xml:space="preserve"> </v>
      </c>
      <c r="E14" s="35" t="str">
        <f>IF('A.PL. '!E6=0," ",'A.PL. '!E6)</f>
        <v xml:space="preserve"> </v>
      </c>
      <c r="F14" s="35">
        <f>IF('A.PL. '!F6=0," ",'A.PL. '!F6)</f>
        <v>24</v>
      </c>
      <c r="G14" s="18"/>
    </row>
    <row r="15" spans="1:9" ht="17.100000000000001" customHeight="1">
      <c r="A15" s="272" t="s">
        <v>64</v>
      </c>
      <c r="B15" s="34" t="s">
        <v>62</v>
      </c>
      <c r="C15" s="35">
        <f>IF(MAT!C6=0," ",MAT!C6)</f>
        <v>64</v>
      </c>
      <c r="D15" s="35" t="str">
        <f>IF(MAT!D6=0," ",MAT!D6)</f>
        <v xml:space="preserve"> </v>
      </c>
      <c r="E15" s="35" t="str">
        <f>IF(MAT!E6=0," ",MAT!E6)</f>
        <v xml:space="preserve"> </v>
      </c>
      <c r="F15" s="35">
        <f>IF(MAT!F6=0," ",MAT!F6)</f>
        <v>21</v>
      </c>
      <c r="G15" s="18"/>
    </row>
    <row r="16" spans="1:9" ht="17.100000000000001" customHeight="1">
      <c r="A16" s="272"/>
      <c r="B16" s="34" t="s">
        <v>101</v>
      </c>
      <c r="C16" s="35">
        <f>IF('T. TEC. GRAL'!C6=0," ",'T. TEC. GRAL'!C6)</f>
        <v>66</v>
      </c>
      <c r="D16" s="35" t="str">
        <f>IF('T. TEC. GRAL'!D6=0," ",'T. TEC. GRAL'!D6)</f>
        <v xml:space="preserve"> </v>
      </c>
      <c r="E16" s="35" t="str">
        <f>IF('T. TEC. GRAL'!E6=0," ",'T. TEC. GRAL'!E6)</f>
        <v xml:space="preserve"> </v>
      </c>
      <c r="F16" s="35">
        <f>IF('T. TEC. GRAL'!F6=0," ",'T. TEC. GRAL'!F6)</f>
        <v>22</v>
      </c>
      <c r="G16" s="18"/>
    </row>
    <row r="17" spans="1:9" ht="24" customHeight="1">
      <c r="A17" s="142" t="s">
        <v>79</v>
      </c>
      <c r="B17" s="34" t="s">
        <v>63</v>
      </c>
      <c r="C17" s="35">
        <f>IF('BIO-GEO'!C6=0," ",'BIO-GEO'!C6)</f>
        <v>77</v>
      </c>
      <c r="D17" s="35" t="str">
        <f>IF('BIO-GEO'!D6=0," ",'BIO-GEO'!D6)</f>
        <v xml:space="preserve"> </v>
      </c>
      <c r="E17" s="35" t="str">
        <f>IF('BIO-GEO'!E6=0," ",'BIO-GEO'!E6)</f>
        <v xml:space="preserve"> </v>
      </c>
      <c r="F17" s="35">
        <f>IF('BIO-GEO'!F6=0," ",'BIO-GEO'!F6)</f>
        <v>26</v>
      </c>
      <c r="G17" s="18"/>
    </row>
    <row r="18" spans="1:9" ht="17.100000000000001" customHeight="1">
      <c r="A18" s="271" t="s">
        <v>39</v>
      </c>
      <c r="B18" s="34" t="s">
        <v>54</v>
      </c>
      <c r="C18" s="35">
        <f>IF(PSI!C6=0," ",PSI!C6)</f>
        <v>74</v>
      </c>
      <c r="D18" s="35" t="str">
        <f>IF(PSI!D6=0," ",PSI!D6)</f>
        <v xml:space="preserve"> </v>
      </c>
      <c r="E18" s="35" t="str">
        <f>IF(PSI!E6=0," ",PSI!E6)</f>
        <v xml:space="preserve"> </v>
      </c>
      <c r="F18" s="35">
        <f>IF(PSI!F6=0," ",PSI!F6)</f>
        <v>25</v>
      </c>
      <c r="G18" s="18"/>
    </row>
    <row r="19" spans="1:9" ht="17.100000000000001" customHeight="1">
      <c r="A19" s="271"/>
      <c r="B19" s="34" t="s">
        <v>55</v>
      </c>
      <c r="C19" s="35">
        <f>IF('REL.'!C6=0," ",'REL.'!C6)</f>
        <v>64.666666666666671</v>
      </c>
      <c r="D19" s="35" t="str">
        <f>IF('REL.'!D6=0," ",'REL.'!D6)</f>
        <v xml:space="preserve"> </v>
      </c>
      <c r="E19" s="35" t="str">
        <f>IF('REL.'!E6=0," ",'REL.'!E6)</f>
        <v xml:space="preserve"> </v>
      </c>
      <c r="F19" s="35">
        <f>IF('REL.'!F6=0," ",'REL.'!F6)</f>
        <v>22</v>
      </c>
      <c r="G19" s="18"/>
    </row>
    <row r="20" spans="1:9" ht="15.95" customHeight="1">
      <c r="A20" s="143"/>
      <c r="B20" s="144"/>
      <c r="C20" s="38"/>
      <c r="D20" s="38"/>
      <c r="E20" s="38"/>
      <c r="F20" s="38"/>
      <c r="G20" s="18"/>
    </row>
    <row r="21" spans="1:9" ht="3" customHeight="1">
      <c r="A21" s="143"/>
      <c r="B21" s="144"/>
      <c r="C21" s="38"/>
      <c r="D21" s="38"/>
      <c r="E21" s="38"/>
      <c r="F21" s="38"/>
      <c r="G21" s="18"/>
    </row>
    <row r="22" spans="1:9" ht="18" customHeight="1">
      <c r="A22" s="36"/>
      <c r="B22" s="36"/>
      <c r="C22" s="37"/>
      <c r="D22" s="37"/>
      <c r="E22" s="37"/>
      <c r="F22" s="37"/>
      <c r="G22" s="18"/>
    </row>
    <row r="23" spans="1:9" ht="17.25" customHeight="1">
      <c r="A23" s="18"/>
      <c r="B23" s="18"/>
      <c r="C23" s="278" t="s">
        <v>42</v>
      </c>
      <c r="D23" s="278"/>
      <c r="E23" s="278"/>
      <c r="F23" s="18"/>
      <c r="G23" s="18"/>
    </row>
    <row r="24" spans="1:9" ht="15.95" customHeight="1">
      <c r="A24" s="270" t="str">
        <f t="shared" ref="A24" si="0">$A$3</f>
        <v>U. E. ABAROA B</v>
      </c>
      <c r="B24" s="270"/>
      <c r="C24" s="39"/>
      <c r="D24" s="39"/>
      <c r="E24" s="39"/>
      <c r="F24" s="182" t="str">
        <f>NOMINA!$D$2</f>
        <v>GESTION: 2026</v>
      </c>
      <c r="G24" s="18"/>
    </row>
    <row r="25" spans="1:9" ht="21.95" customHeight="1">
      <c r="A25" s="304" t="str">
        <f>NOMINA!$B$2</f>
        <v>CURSO 2A</v>
      </c>
      <c r="B25" s="305"/>
      <c r="C25" s="290" t="str">
        <f>NOMINA!B7</f>
        <v>ALIAGA SAAVEDRA MARCU MAURICIO</v>
      </c>
      <c r="D25" s="290"/>
      <c r="E25" s="290"/>
      <c r="F25" s="290"/>
      <c r="G25" s="29"/>
    </row>
    <row r="26" spans="1:9" ht="15.95" customHeight="1">
      <c r="A26" s="279">
        <f>NOMINA!A7</f>
        <v>2</v>
      </c>
      <c r="B26" s="306"/>
      <c r="C26" s="185" t="s">
        <v>5</v>
      </c>
      <c r="D26" s="291" t="s">
        <v>9</v>
      </c>
      <c r="E26" s="292"/>
      <c r="F26" s="179" t="s">
        <v>7</v>
      </c>
      <c r="G26" s="18"/>
    </row>
    <row r="27" spans="1:9" ht="15.95" customHeight="1">
      <c r="A27" s="279"/>
      <c r="B27" s="307"/>
      <c r="C27" s="178">
        <f>NOMINA!C7</f>
        <v>0</v>
      </c>
      <c r="D27" s="295">
        <f>NOMINA!D7</f>
        <v>0</v>
      </c>
      <c r="E27" s="296"/>
      <c r="F27" s="181">
        <f>NOMINA!F7</f>
        <v>0</v>
      </c>
      <c r="G27" s="18"/>
    </row>
    <row r="28" spans="1:9" s="16" customFormat="1" ht="15.95" customHeight="1">
      <c r="A28" s="275" t="s">
        <v>35</v>
      </c>
      <c r="B28" s="282" t="s">
        <v>37</v>
      </c>
      <c r="C28" s="30" t="s">
        <v>84</v>
      </c>
      <c r="D28" s="30" t="s">
        <v>82</v>
      </c>
      <c r="E28" s="30" t="s">
        <v>83</v>
      </c>
      <c r="F28" s="180" t="s">
        <v>38</v>
      </c>
      <c r="G28" s="31"/>
      <c r="I28" s="17"/>
    </row>
    <row r="29" spans="1:9" s="16" customFormat="1" ht="15.95" customHeight="1">
      <c r="A29" s="277"/>
      <c r="B29" s="285"/>
      <c r="C29" s="32" t="s">
        <v>33</v>
      </c>
      <c r="D29" s="32" t="s">
        <v>33</v>
      </c>
      <c r="E29" s="32" t="s">
        <v>33</v>
      </c>
      <c r="F29" s="33" t="s">
        <v>33</v>
      </c>
      <c r="G29" s="31"/>
    </row>
    <row r="30" spans="1:9" ht="17.100000000000001" customHeight="1">
      <c r="A30" s="271" t="s">
        <v>45</v>
      </c>
      <c r="B30" s="34" t="s">
        <v>36</v>
      </c>
      <c r="C30" s="40">
        <f>IF(LEN!C7=0," ",LEN!C7)</f>
        <v>53</v>
      </c>
      <c r="D30" s="40" t="str">
        <f>IF(LEN!D7=0," ",LEN!D7)</f>
        <v xml:space="preserve"> </v>
      </c>
      <c r="E30" s="40" t="str">
        <f>IF(LEN!E7=0," ",LEN!E7)</f>
        <v xml:space="preserve"> </v>
      </c>
      <c r="F30" s="40">
        <f>IF(LEN!F7=0," ",LEN!F7)</f>
        <v>18</v>
      </c>
      <c r="G30" s="18"/>
    </row>
    <row r="31" spans="1:9" ht="17.100000000000001" customHeight="1">
      <c r="A31" s="271"/>
      <c r="B31" s="34" t="s">
        <v>10</v>
      </c>
      <c r="C31" s="40">
        <f>IF(ING!C7=0," ",ING!C7)</f>
        <v>66</v>
      </c>
      <c r="D31" s="40" t="str">
        <f>IF(ING!D7=0," ",ING!D7)</f>
        <v xml:space="preserve"> </v>
      </c>
      <c r="E31" s="40" t="str">
        <f>IF(ING!E7=0," ",ING!E7)</f>
        <v xml:space="preserve"> </v>
      </c>
      <c r="F31" s="40">
        <f>IF(ING!F7=0," ",ING!F7)</f>
        <v>22</v>
      </c>
      <c r="G31" s="18"/>
    </row>
    <row r="32" spans="1:9" ht="17.100000000000001" customHeight="1">
      <c r="A32" s="271"/>
      <c r="B32" s="34" t="s">
        <v>61</v>
      </c>
      <c r="C32" s="40">
        <f>IF('C.SOC'!C7=0," ",'C.SOC'!C7)</f>
        <v>58</v>
      </c>
      <c r="D32" s="40" t="str">
        <f>IF('C.SOC'!D7=0," ",'C.SOC'!D7)</f>
        <v xml:space="preserve"> </v>
      </c>
      <c r="E32" s="40" t="str">
        <f>IF('C.SOC'!E7=0," ",'C.SOC'!E7)</f>
        <v xml:space="preserve"> </v>
      </c>
      <c r="F32" s="40">
        <f>IF('C.SOC'!F7=0," ",'C.SOC'!F7)</f>
        <v>19</v>
      </c>
      <c r="G32" s="18"/>
    </row>
    <row r="33" spans="1:10" ht="17.100000000000001" customHeight="1">
      <c r="A33" s="271"/>
      <c r="B33" s="34" t="s">
        <v>43</v>
      </c>
      <c r="C33" s="40">
        <f>IF('E. FIS.'!C7=0," ",'E. FIS.'!C7)</f>
        <v>54</v>
      </c>
      <c r="D33" s="40" t="str">
        <f>IF('E. FIS.'!D7=0," ",'E. FIS.'!D7)</f>
        <v xml:space="preserve"> </v>
      </c>
      <c r="E33" s="40" t="str">
        <f>IF('E. FIS.'!E7=0," ",'E. FIS.'!E7)</f>
        <v xml:space="preserve"> </v>
      </c>
      <c r="F33" s="40">
        <f>IF('E. FIS.'!F7=0," ",'E. FIS.'!F7)</f>
        <v>18</v>
      </c>
      <c r="G33" s="18"/>
    </row>
    <row r="34" spans="1:10" ht="17.100000000000001" customHeight="1">
      <c r="A34" s="271"/>
      <c r="B34" s="34" t="s">
        <v>44</v>
      </c>
      <c r="C34" s="40">
        <f>IF(MUS.!C7=0," ",MUS.!C7)</f>
        <v>87</v>
      </c>
      <c r="D34" s="40" t="str">
        <f>IF(MUS.!D7=0," ",MUS.!D7)</f>
        <v xml:space="preserve"> </v>
      </c>
      <c r="E34" s="40" t="str">
        <f>IF(MUS.!E7=0," ",MUS.!E7)</f>
        <v xml:space="preserve"> </v>
      </c>
      <c r="F34" s="40">
        <f>IF(MUS.!F7=0," ",MUS.!F7)</f>
        <v>29</v>
      </c>
      <c r="G34" s="18"/>
    </row>
    <row r="35" spans="1:10" ht="17.100000000000001" customHeight="1">
      <c r="A35" s="271"/>
      <c r="B35" s="34" t="s">
        <v>11</v>
      </c>
      <c r="C35" s="40">
        <f>IF('A.PL. '!C7=0," ",'A.PL. '!C7)</f>
        <v>55</v>
      </c>
      <c r="D35" s="40" t="str">
        <f>IF('A.PL. '!D7=0," ",'A.PL. '!D7)</f>
        <v xml:space="preserve"> </v>
      </c>
      <c r="E35" s="40" t="str">
        <f>IF('A.PL. '!E7=0," ",'A.PL. '!E7)</f>
        <v xml:space="preserve"> </v>
      </c>
      <c r="F35" s="40">
        <f>IF('A.PL. '!F7=0," ",'A.PL. '!F7)</f>
        <v>18</v>
      </c>
      <c r="G35" s="18"/>
    </row>
    <row r="36" spans="1:10" ht="17.100000000000001" customHeight="1">
      <c r="A36" s="272" t="s">
        <v>64</v>
      </c>
      <c r="B36" s="34" t="s">
        <v>62</v>
      </c>
      <c r="C36" s="40">
        <f>IF(MAT!C7=0," ",MAT!C7)</f>
        <v>59</v>
      </c>
      <c r="D36" s="40" t="str">
        <f>IF(MAT!D7=0," ",MAT!D7)</f>
        <v xml:space="preserve"> </v>
      </c>
      <c r="E36" s="40" t="str">
        <f>IF(MAT!E7=0," ",MAT!E7)</f>
        <v xml:space="preserve"> </v>
      </c>
      <c r="F36" s="40">
        <f>IF(MAT!F7=0," ",MAT!F7)</f>
        <v>20</v>
      </c>
      <c r="G36" s="18"/>
    </row>
    <row r="37" spans="1:10" ht="17.100000000000001" customHeight="1">
      <c r="A37" s="272"/>
      <c r="B37" s="34" t="s">
        <v>101</v>
      </c>
      <c r="C37" s="40">
        <f>IF('T. TEC. GRAL'!C7=0," ",'T. TEC. GRAL'!C7)</f>
        <v>63</v>
      </c>
      <c r="D37" s="40" t="str">
        <f>IF('T. TEC. GRAL'!D7=0," ",'T. TEC. GRAL'!D7)</f>
        <v xml:space="preserve"> </v>
      </c>
      <c r="E37" s="40" t="str">
        <f>IF('T. TEC. GRAL'!E7=0," ",'T. TEC. GRAL'!E7)</f>
        <v xml:space="preserve"> </v>
      </c>
      <c r="F37" s="40">
        <f>IF('T. TEC. GRAL'!F7=0," ",'T. TEC. GRAL'!F7)</f>
        <v>21</v>
      </c>
      <c r="G37" s="18"/>
    </row>
    <row r="38" spans="1:10" ht="24" customHeight="1">
      <c r="A38" s="142" t="s">
        <v>79</v>
      </c>
      <c r="B38" s="34" t="s">
        <v>63</v>
      </c>
      <c r="C38" s="40">
        <f>IF('BIO-GEO'!C7=0," ",'BIO-GEO'!C7)</f>
        <v>74</v>
      </c>
      <c r="D38" s="40" t="str">
        <f>IF('BIO-GEO'!D7=0," ",'BIO-GEO'!D7)</f>
        <v xml:space="preserve"> </v>
      </c>
      <c r="E38" s="40" t="str">
        <f>IF('BIO-GEO'!E7=0," ",'BIO-GEO'!E7)</f>
        <v xml:space="preserve"> </v>
      </c>
      <c r="F38" s="40">
        <f>IF('BIO-GEO'!F7=0," ",'BIO-GEO'!F7)</f>
        <v>25</v>
      </c>
      <c r="G38" s="18"/>
    </row>
    <row r="39" spans="1:10" ht="17.100000000000001" customHeight="1">
      <c r="A39" s="271" t="s">
        <v>39</v>
      </c>
      <c r="B39" s="34" t="s">
        <v>54</v>
      </c>
      <c r="C39" s="40">
        <f>IF(PSI!C7=0," ",PSI!C7)</f>
        <v>80</v>
      </c>
      <c r="D39" s="40" t="str">
        <f>IF(PSI!D7=0," ",PSI!D7)</f>
        <v xml:space="preserve"> </v>
      </c>
      <c r="E39" s="40" t="str">
        <f>IF(PSI!E7=0," ",PSI!E7)</f>
        <v xml:space="preserve"> </v>
      </c>
      <c r="F39" s="40">
        <f>IF(PSI!F7=0," ",PSI!F7)</f>
        <v>27</v>
      </c>
      <c r="G39" s="18"/>
    </row>
    <row r="40" spans="1:10" ht="17.100000000000001" customHeight="1">
      <c r="A40" s="271"/>
      <c r="B40" s="34" t="s">
        <v>55</v>
      </c>
      <c r="C40" s="40">
        <f>IF('REL.'!C7=0," ",'REL.'!C7)</f>
        <v>62.416666666666671</v>
      </c>
      <c r="D40" s="40" t="str">
        <f>IF('REL.'!D7=0," ",'REL.'!D7)</f>
        <v xml:space="preserve"> </v>
      </c>
      <c r="E40" s="40" t="str">
        <f>IF('REL.'!E7=0," ",'REL.'!E7)</f>
        <v xml:space="preserve"> </v>
      </c>
      <c r="F40" s="40">
        <f>IF('REL.'!F7=0," ",'REL.'!F7)</f>
        <v>21</v>
      </c>
      <c r="G40" s="18"/>
    </row>
    <row r="41" spans="1:10" ht="33" customHeight="1">
      <c r="A41" s="143"/>
      <c r="B41" s="144"/>
      <c r="C41" s="145"/>
      <c r="D41" s="145"/>
      <c r="E41" s="145"/>
      <c r="F41" s="37"/>
      <c r="G41" s="18"/>
    </row>
    <row r="42" spans="1:10" ht="17.25" customHeight="1">
      <c r="A42" s="18"/>
      <c r="B42" s="18"/>
      <c r="C42" s="289" t="s">
        <v>42</v>
      </c>
      <c r="D42" s="289"/>
      <c r="E42" s="289"/>
      <c r="F42" s="18"/>
      <c r="G42" s="18"/>
    </row>
    <row r="43" spans="1:10" ht="15.75" customHeight="1">
      <c r="A43" s="270" t="str">
        <f t="shared" ref="A43" si="1">$A$3</f>
        <v>U. E. ABAROA B</v>
      </c>
      <c r="B43" s="270"/>
      <c r="C43" s="18"/>
      <c r="D43" s="18"/>
      <c r="E43" s="18"/>
      <c r="F43" s="182" t="str">
        <f>NOMINA!$D$2</f>
        <v>GESTION: 2026</v>
      </c>
      <c r="G43" s="18"/>
    </row>
    <row r="44" spans="1:10" ht="21.95" customHeight="1">
      <c r="A44" s="273" t="str">
        <f>NOMINA!$B$2</f>
        <v>CURSO 2A</v>
      </c>
      <c r="B44" s="274"/>
      <c r="C44" s="290" t="str">
        <f>NOMINA!B8</f>
        <v>ANTEZANA CACHI JOSE MAXWEL</v>
      </c>
      <c r="D44" s="290"/>
      <c r="E44" s="290"/>
      <c r="F44" s="290"/>
      <c r="G44" s="29"/>
      <c r="J44" s="15"/>
    </row>
    <row r="45" spans="1:10" ht="15.95" customHeight="1">
      <c r="A45" s="279">
        <f>NOMINA!A8</f>
        <v>3</v>
      </c>
      <c r="B45" s="306"/>
      <c r="C45" s="185" t="s">
        <v>5</v>
      </c>
      <c r="D45" s="291" t="s">
        <v>9</v>
      </c>
      <c r="E45" s="292"/>
      <c r="F45" s="179" t="s">
        <v>7</v>
      </c>
      <c r="G45" s="18"/>
    </row>
    <row r="46" spans="1:10" ht="15.95" customHeight="1">
      <c r="A46" s="279"/>
      <c r="B46" s="307"/>
      <c r="C46" s="178">
        <f>NOMINA!C8</f>
        <v>0</v>
      </c>
      <c r="D46" s="295">
        <f>NOMINA!D8</f>
        <v>0</v>
      </c>
      <c r="E46" s="296"/>
      <c r="F46" s="181">
        <f>NOMINA!F8</f>
        <v>0</v>
      </c>
      <c r="G46" s="18"/>
    </row>
    <row r="47" spans="1:10" s="16" customFormat="1" ht="15.95" customHeight="1">
      <c r="A47" s="275" t="s">
        <v>35</v>
      </c>
      <c r="B47" s="282" t="s">
        <v>37</v>
      </c>
      <c r="C47" s="30" t="s">
        <v>84</v>
      </c>
      <c r="D47" s="30" t="s">
        <v>82</v>
      </c>
      <c r="E47" s="30" t="s">
        <v>83</v>
      </c>
      <c r="F47" s="180" t="s">
        <v>38</v>
      </c>
      <c r="G47" s="31"/>
      <c r="I47" s="17"/>
    </row>
    <row r="48" spans="1:10" s="16" customFormat="1" ht="15.95" customHeight="1">
      <c r="A48" s="277"/>
      <c r="B48" s="285"/>
      <c r="C48" s="32" t="s">
        <v>33</v>
      </c>
      <c r="D48" s="32" t="s">
        <v>33</v>
      </c>
      <c r="E48" s="32" t="s">
        <v>33</v>
      </c>
      <c r="F48" s="33" t="s">
        <v>33</v>
      </c>
      <c r="G48" s="31"/>
    </row>
    <row r="49" spans="1:7" ht="17.100000000000001" customHeight="1">
      <c r="A49" s="271" t="s">
        <v>45</v>
      </c>
      <c r="B49" s="34" t="s">
        <v>36</v>
      </c>
      <c r="C49" s="40">
        <f>IF(LEN!C8=0," ",LEN!C8)</f>
        <v>65</v>
      </c>
      <c r="D49" s="40" t="str">
        <f>IF(LEN!D8=0," ",LEN!D8)</f>
        <v xml:space="preserve"> </v>
      </c>
      <c r="E49" s="40" t="str">
        <f>IF(LEN!E8=0," ",LEN!E8)</f>
        <v xml:space="preserve"> </v>
      </c>
      <c r="F49" s="40">
        <f>IF(LEN!F8=0," ",LEN!F8)</f>
        <v>22</v>
      </c>
      <c r="G49" s="18"/>
    </row>
    <row r="50" spans="1:7" ht="17.100000000000001" customHeight="1">
      <c r="A50" s="271"/>
      <c r="B50" s="34" t="s">
        <v>10</v>
      </c>
      <c r="C50" s="40">
        <f>IF(ING!C8=0," ",ING!C8)</f>
        <v>81</v>
      </c>
      <c r="D50" s="40" t="str">
        <f>IF(ING!D8=0," ",ING!D8)</f>
        <v xml:space="preserve"> </v>
      </c>
      <c r="E50" s="40" t="str">
        <f>IF(ING!E8=0," ",ING!E8)</f>
        <v xml:space="preserve"> </v>
      </c>
      <c r="F50" s="40">
        <f>IF(ING!F8=0," ",ING!F8)</f>
        <v>27</v>
      </c>
      <c r="G50" s="18"/>
    </row>
    <row r="51" spans="1:7" ht="17.100000000000001" customHeight="1">
      <c r="A51" s="271"/>
      <c r="B51" s="34" t="s">
        <v>61</v>
      </c>
      <c r="C51" s="40">
        <f>IF('C.SOC'!C8=0," ",'C.SOC'!C8)</f>
        <v>74</v>
      </c>
      <c r="D51" s="40" t="str">
        <f>IF('C.SOC'!D8=0," ",'C.SOC'!D8)</f>
        <v xml:space="preserve"> </v>
      </c>
      <c r="E51" s="40" t="str">
        <f>IF('C.SOC'!E8=0," ",'C.SOC'!E8)</f>
        <v xml:space="preserve"> </v>
      </c>
      <c r="F51" s="40">
        <f>IF('C.SOC'!F8=0," ",'C.SOC'!F8)</f>
        <v>25</v>
      </c>
      <c r="G51" s="18"/>
    </row>
    <row r="52" spans="1:7" ht="17.100000000000001" customHeight="1">
      <c r="A52" s="271"/>
      <c r="B52" s="34" t="s">
        <v>43</v>
      </c>
      <c r="C52" s="40">
        <f>IF('E. FIS.'!C8=0," ",'E. FIS.'!C8)</f>
        <v>63</v>
      </c>
      <c r="D52" s="40" t="str">
        <f>IF('E. FIS.'!D8=0," ",'E. FIS.'!D8)</f>
        <v xml:space="preserve"> </v>
      </c>
      <c r="E52" s="40" t="str">
        <f>IF('E. FIS.'!E8=0," ",'E. FIS.'!E8)</f>
        <v xml:space="preserve"> </v>
      </c>
      <c r="F52" s="40">
        <f>IF('E. FIS.'!F8=0," ",'E. FIS.'!F8)</f>
        <v>21</v>
      </c>
      <c r="G52" s="18"/>
    </row>
    <row r="53" spans="1:7" ht="17.100000000000001" customHeight="1">
      <c r="A53" s="271"/>
      <c r="B53" s="34" t="s">
        <v>44</v>
      </c>
      <c r="C53" s="40">
        <f>IF(MUS.!C8=0," ",MUS.!C8)</f>
        <v>96</v>
      </c>
      <c r="D53" s="40" t="str">
        <f>IF(MUS.!D8=0," ",MUS.!D8)</f>
        <v xml:space="preserve"> </v>
      </c>
      <c r="E53" s="40" t="str">
        <f>IF(MUS.!E8=0," ",MUS.!E8)</f>
        <v xml:space="preserve"> </v>
      </c>
      <c r="F53" s="40">
        <f>IF(MUS.!F8=0," ",MUS.!F8)</f>
        <v>32</v>
      </c>
      <c r="G53" s="18"/>
    </row>
    <row r="54" spans="1:7" ht="17.100000000000001" customHeight="1">
      <c r="A54" s="271"/>
      <c r="B54" s="34" t="s">
        <v>11</v>
      </c>
      <c r="C54" s="40">
        <f>IF('A.PL. '!C8=0," ",'A.PL. '!C8)</f>
        <v>59</v>
      </c>
      <c r="D54" s="40" t="str">
        <f>IF('A.PL. '!D8=0," ",'A.PL. '!D8)</f>
        <v xml:space="preserve"> </v>
      </c>
      <c r="E54" s="40" t="str">
        <f>IF('A.PL. '!E8=0," ",'A.PL. '!E8)</f>
        <v xml:space="preserve"> </v>
      </c>
      <c r="F54" s="40">
        <f>IF('A.PL. '!F8=0," ",'A.PL. '!F8)</f>
        <v>20</v>
      </c>
      <c r="G54" s="18"/>
    </row>
    <row r="55" spans="1:7" ht="17.100000000000001" customHeight="1">
      <c r="A55" s="272" t="s">
        <v>64</v>
      </c>
      <c r="B55" s="34" t="s">
        <v>62</v>
      </c>
      <c r="C55" s="40">
        <f>IF(MAT!C8=0," ",MAT!C8)</f>
        <v>91</v>
      </c>
      <c r="D55" s="40" t="str">
        <f>IF(MAT!D8=0," ",MAT!D8)</f>
        <v xml:space="preserve"> </v>
      </c>
      <c r="E55" s="40" t="str">
        <f>IF(MAT!E8=0," ",MAT!E8)</f>
        <v xml:space="preserve"> </v>
      </c>
      <c r="F55" s="40">
        <f>IF(MAT!F8=0," ",MAT!F8)</f>
        <v>30</v>
      </c>
      <c r="G55" s="18"/>
    </row>
    <row r="56" spans="1:7" ht="17.100000000000001" customHeight="1">
      <c r="A56" s="272"/>
      <c r="B56" s="34" t="s">
        <v>101</v>
      </c>
      <c r="C56" s="40">
        <f>IF('T. TEC. GRAL'!C8=0," ",'T. TEC. GRAL'!C8)</f>
        <v>65</v>
      </c>
      <c r="D56" s="40" t="str">
        <f>IF('T. TEC. GRAL'!D8=0," ",'T. TEC. GRAL'!D8)</f>
        <v xml:space="preserve"> </v>
      </c>
      <c r="E56" s="40" t="str">
        <f>IF('T. TEC. GRAL'!E8=0," ",'T. TEC. GRAL'!E8)</f>
        <v xml:space="preserve"> </v>
      </c>
      <c r="F56" s="40">
        <f>IF('T. TEC. GRAL'!F8=0," ",'T. TEC. GRAL'!F8)</f>
        <v>22</v>
      </c>
      <c r="G56" s="18"/>
    </row>
    <row r="57" spans="1:7" ht="24" customHeight="1">
      <c r="A57" s="142" t="s">
        <v>79</v>
      </c>
      <c r="B57" s="34" t="s">
        <v>63</v>
      </c>
      <c r="C57" s="40">
        <f>IF('BIO-GEO'!C8=0," ",'BIO-GEO'!C8)</f>
        <v>75</v>
      </c>
      <c r="D57" s="40" t="str">
        <f>IF('BIO-GEO'!D8=0," ",'BIO-GEO'!D8)</f>
        <v xml:space="preserve"> </v>
      </c>
      <c r="E57" s="40" t="str">
        <f>IF('BIO-GEO'!E8=0," ",'BIO-GEO'!E8)</f>
        <v xml:space="preserve"> </v>
      </c>
      <c r="F57" s="40">
        <f>IF('BIO-GEO'!F8=0," ",'BIO-GEO'!F8)</f>
        <v>25</v>
      </c>
      <c r="G57" s="18"/>
    </row>
    <row r="58" spans="1:7" ht="17.100000000000001" customHeight="1">
      <c r="A58" s="271" t="s">
        <v>39</v>
      </c>
      <c r="B58" s="34" t="s">
        <v>54</v>
      </c>
      <c r="C58" s="40">
        <f>IF(PSI!C8=0," ",PSI!C8)</f>
        <v>85</v>
      </c>
      <c r="D58" s="40" t="str">
        <f>IF(PSI!D8=0," ",PSI!D8)</f>
        <v xml:space="preserve"> </v>
      </c>
      <c r="E58" s="40" t="str">
        <f>IF(PSI!E8=0," ",PSI!E8)</f>
        <v xml:space="preserve"> </v>
      </c>
      <c r="F58" s="40">
        <f>IF(PSI!F8=0," ",PSI!F8)</f>
        <v>28</v>
      </c>
      <c r="G58" s="18"/>
    </row>
    <row r="59" spans="1:7" ht="17.100000000000001" customHeight="1">
      <c r="A59" s="271"/>
      <c r="B59" s="34" t="s">
        <v>55</v>
      </c>
      <c r="C59" s="40">
        <f>IF('REL.'!C8=0," ",'REL.'!C8)</f>
        <v>70.333333333333343</v>
      </c>
      <c r="D59" s="40" t="str">
        <f>IF('REL.'!D8=0," ",'REL.'!D8)</f>
        <v xml:space="preserve"> </v>
      </c>
      <c r="E59" s="40" t="str">
        <f>IF('REL.'!E8=0," ",'REL.'!E8)</f>
        <v xml:space="preserve"> </v>
      </c>
      <c r="F59" s="40">
        <f>IF('REL.'!F8=0," ",'REL.'!F8)</f>
        <v>23</v>
      </c>
      <c r="G59" s="18"/>
    </row>
    <row r="60" spans="1:7" ht="15.95" customHeight="1">
      <c r="A60" s="143"/>
      <c r="B60" s="144"/>
      <c r="C60" s="37"/>
      <c r="D60" s="37"/>
      <c r="E60" s="37"/>
      <c r="F60" s="37"/>
      <c r="G60" s="18"/>
    </row>
    <row r="61" spans="1:7" ht="15.95" customHeight="1">
      <c r="A61" s="143"/>
      <c r="B61" s="144"/>
      <c r="C61" s="37"/>
      <c r="D61" s="37"/>
      <c r="E61" s="37"/>
      <c r="F61" s="37"/>
      <c r="G61" s="18"/>
    </row>
    <row r="62" spans="1:7" ht="20.100000000000001" customHeight="1">
      <c r="A62" s="36"/>
      <c r="B62" s="36"/>
      <c r="C62" s="37"/>
      <c r="D62" s="37"/>
      <c r="E62" s="37"/>
      <c r="F62" s="37"/>
      <c r="G62" s="18"/>
    </row>
    <row r="63" spans="1:7" ht="17.25" customHeight="1">
      <c r="A63" s="18"/>
      <c r="B63" s="18"/>
      <c r="C63" s="278" t="s">
        <v>42</v>
      </c>
      <c r="D63" s="278"/>
      <c r="E63" s="278"/>
      <c r="F63" s="18"/>
      <c r="G63" s="18"/>
    </row>
    <row r="64" spans="1:7" ht="15.95" customHeight="1">
      <c r="A64" s="270" t="str">
        <f t="shared" ref="A64" si="2">$A$3</f>
        <v>U. E. ABAROA B</v>
      </c>
      <c r="B64" s="270"/>
      <c r="C64" s="18"/>
      <c r="D64" s="18"/>
      <c r="E64" s="18"/>
      <c r="F64" s="182" t="str">
        <f>NOMINA!$D$2</f>
        <v>GESTION: 2026</v>
      </c>
      <c r="G64" s="18"/>
    </row>
    <row r="65" spans="1:9" ht="21.95" customHeight="1">
      <c r="A65" s="273" t="str">
        <f>NOMINA!$B$2</f>
        <v>CURSO 2A</v>
      </c>
      <c r="B65" s="274"/>
      <c r="C65" s="299" t="str">
        <f>NOMINA!B9</f>
        <v>ARIZACA SALGUERO SANTIAGO</v>
      </c>
      <c r="D65" s="300"/>
      <c r="E65" s="300"/>
      <c r="F65" s="301"/>
      <c r="G65" s="29"/>
    </row>
    <row r="66" spans="1:9" ht="15.95" customHeight="1">
      <c r="A66" s="297">
        <f>NOMINA!A9</f>
        <v>4</v>
      </c>
      <c r="B66" s="41"/>
      <c r="C66" s="42" t="s">
        <v>5</v>
      </c>
      <c r="D66" s="291" t="s">
        <v>9</v>
      </c>
      <c r="E66" s="292"/>
      <c r="F66" s="179" t="s">
        <v>7</v>
      </c>
      <c r="G66" s="18"/>
    </row>
    <row r="67" spans="1:9" ht="15.95" customHeight="1">
      <c r="A67" s="298"/>
      <c r="B67" s="44"/>
      <c r="C67" s="45">
        <f>NOMINA!C9</f>
        <v>0</v>
      </c>
      <c r="D67" s="295">
        <f>NOMINA!D9</f>
        <v>0</v>
      </c>
      <c r="E67" s="296"/>
      <c r="F67" s="181">
        <f>NOMINA!F9</f>
        <v>0</v>
      </c>
      <c r="G67" s="18"/>
    </row>
    <row r="68" spans="1:9" s="16" customFormat="1" ht="15.95" customHeight="1">
      <c r="A68" s="275" t="s">
        <v>35</v>
      </c>
      <c r="B68" s="282" t="s">
        <v>37</v>
      </c>
      <c r="C68" s="30" t="s">
        <v>84</v>
      </c>
      <c r="D68" s="30" t="s">
        <v>82</v>
      </c>
      <c r="E68" s="30" t="s">
        <v>83</v>
      </c>
      <c r="F68" s="180" t="s">
        <v>38</v>
      </c>
      <c r="G68" s="31"/>
      <c r="I68" s="17"/>
    </row>
    <row r="69" spans="1:9" s="16" customFormat="1" ht="15.95" customHeight="1">
      <c r="A69" s="277"/>
      <c r="B69" s="285"/>
      <c r="C69" s="32" t="s">
        <v>33</v>
      </c>
      <c r="D69" s="32" t="s">
        <v>33</v>
      </c>
      <c r="E69" s="32" t="s">
        <v>33</v>
      </c>
      <c r="F69" s="33" t="s">
        <v>33</v>
      </c>
      <c r="G69" s="31"/>
    </row>
    <row r="70" spans="1:9" ht="17.100000000000001" customHeight="1">
      <c r="A70" s="271" t="s">
        <v>45</v>
      </c>
      <c r="B70" s="34" t="s">
        <v>36</v>
      </c>
      <c r="C70" s="35">
        <f>IF(LEN!C9=0," ",LEN!C9)</f>
        <v>46</v>
      </c>
      <c r="D70" s="35" t="str">
        <f>IF(LEN!D9=0," ",LEN!D9)</f>
        <v xml:space="preserve"> </v>
      </c>
      <c r="E70" s="35" t="str">
        <f>IF(LEN!E9=0," ",LEN!E9)</f>
        <v xml:space="preserve"> </v>
      </c>
      <c r="F70" s="35">
        <f>IF(LEN!F9=0," ",LEN!F9)</f>
        <v>15</v>
      </c>
      <c r="G70" s="18"/>
    </row>
    <row r="71" spans="1:9" ht="17.100000000000001" customHeight="1">
      <c r="A71" s="271"/>
      <c r="B71" s="34" t="s">
        <v>10</v>
      </c>
      <c r="C71" s="35">
        <f>IF(ING!C9=0," ",ING!C9)</f>
        <v>48</v>
      </c>
      <c r="D71" s="35" t="str">
        <f>IF(ING!D9=0," ",ING!D9)</f>
        <v xml:space="preserve"> </v>
      </c>
      <c r="E71" s="35" t="str">
        <f>IF(ING!E9=0," ",ING!E9)</f>
        <v xml:space="preserve"> </v>
      </c>
      <c r="F71" s="35">
        <f>IF(ING!F9=0," ",ING!F9)</f>
        <v>16</v>
      </c>
      <c r="G71" s="18"/>
    </row>
    <row r="72" spans="1:9" ht="17.100000000000001" customHeight="1">
      <c r="A72" s="271"/>
      <c r="B72" s="34" t="s">
        <v>61</v>
      </c>
      <c r="C72" s="35">
        <f>IF('C.SOC'!C9=0," ",'C.SOC'!C9)</f>
        <v>63</v>
      </c>
      <c r="D72" s="35" t="str">
        <f>IF('C.SOC'!D9=0," ",'C.SOC'!D9)</f>
        <v xml:space="preserve"> </v>
      </c>
      <c r="E72" s="35" t="str">
        <f>IF('C.SOC'!E9=0," ",'C.SOC'!E9)</f>
        <v xml:space="preserve"> </v>
      </c>
      <c r="F72" s="35">
        <f>IF('C.SOC'!F9=0," ",'C.SOC'!F9)</f>
        <v>21</v>
      </c>
      <c r="G72" s="18"/>
    </row>
    <row r="73" spans="1:9" ht="17.100000000000001" customHeight="1">
      <c r="A73" s="271"/>
      <c r="B73" s="34" t="s">
        <v>43</v>
      </c>
      <c r="C73" s="35">
        <f>IF('E. FIS.'!C9=0," ",'E. FIS.'!C9)</f>
        <v>76</v>
      </c>
      <c r="D73" s="35" t="str">
        <f>IF('E. FIS.'!D9=0," ",'E. FIS.'!D9)</f>
        <v xml:space="preserve"> </v>
      </c>
      <c r="E73" s="35" t="str">
        <f>IF('E. FIS.'!E9=0," ",'E. FIS.'!E9)</f>
        <v xml:space="preserve"> </v>
      </c>
      <c r="F73" s="35">
        <f>IF('E. FIS.'!F9=0," ",'E. FIS.'!F9)</f>
        <v>25</v>
      </c>
      <c r="G73" s="18"/>
    </row>
    <row r="74" spans="1:9" ht="17.100000000000001" customHeight="1">
      <c r="A74" s="271"/>
      <c r="B74" s="34" t="s">
        <v>44</v>
      </c>
      <c r="C74" s="35">
        <f>IF(MUS.!C9=0," ",MUS.!C9)</f>
        <v>70</v>
      </c>
      <c r="D74" s="35" t="str">
        <f>IF(MUS.!D9=0," ",MUS.!D9)</f>
        <v xml:space="preserve"> </v>
      </c>
      <c r="E74" s="35" t="str">
        <f>IF(MUS.!E9=0," ",MUS.!E9)</f>
        <v xml:space="preserve"> </v>
      </c>
      <c r="F74" s="35">
        <f>IF(MUS.!F9=0," ",MUS.!F9)</f>
        <v>23</v>
      </c>
      <c r="G74" s="18"/>
    </row>
    <row r="75" spans="1:9" ht="17.100000000000001" customHeight="1">
      <c r="A75" s="271"/>
      <c r="B75" s="34" t="s">
        <v>11</v>
      </c>
      <c r="C75" s="35">
        <f>IF('A.PL. '!C9=0," ",'A.PL. '!C9)</f>
        <v>63</v>
      </c>
      <c r="D75" s="35" t="str">
        <f>IF('A.PL. '!D9=0," ",'A.PL. '!D9)</f>
        <v xml:space="preserve"> </v>
      </c>
      <c r="E75" s="35" t="str">
        <f>IF('A.PL. '!E9=0," ",'A.PL. '!E9)</f>
        <v xml:space="preserve"> </v>
      </c>
      <c r="F75" s="35">
        <f>IF('A.PL. '!F9=0," ",'A.PL. '!F9)</f>
        <v>21</v>
      </c>
      <c r="G75" s="18"/>
    </row>
    <row r="76" spans="1:9" ht="17.100000000000001" customHeight="1">
      <c r="A76" s="272" t="s">
        <v>64</v>
      </c>
      <c r="B76" s="34" t="s">
        <v>62</v>
      </c>
      <c r="C76" s="35">
        <f>IF(MAT!C9=0," ",MAT!C9)</f>
        <v>61</v>
      </c>
      <c r="D76" s="35" t="str">
        <f>IF(MAT!D9=0," ",MAT!D9)</f>
        <v xml:space="preserve"> </v>
      </c>
      <c r="E76" s="35" t="str">
        <f>IF(MAT!E9=0," ",MAT!E9)</f>
        <v xml:space="preserve"> </v>
      </c>
      <c r="F76" s="35">
        <f>IF(MAT!F9=0," ",MAT!F9)</f>
        <v>20</v>
      </c>
      <c r="G76" s="18"/>
    </row>
    <row r="77" spans="1:9" ht="17.100000000000001" customHeight="1">
      <c r="A77" s="272"/>
      <c r="B77" s="34" t="s">
        <v>101</v>
      </c>
      <c r="C77" s="35">
        <f>IF('T. TEC. GRAL'!C9=0," ",'T. TEC. GRAL'!C9)</f>
        <v>68</v>
      </c>
      <c r="D77" s="35" t="str">
        <f>IF('T. TEC. GRAL'!D9=0," ",'T. TEC. GRAL'!D9)</f>
        <v xml:space="preserve"> </v>
      </c>
      <c r="E77" s="35" t="str">
        <f>IF('T. TEC. GRAL'!E9=0," ",'T. TEC. GRAL'!E9)</f>
        <v xml:space="preserve"> </v>
      </c>
      <c r="F77" s="35">
        <f>IF('T. TEC. GRAL'!F9=0," ",'T. TEC. GRAL'!F9)</f>
        <v>23</v>
      </c>
      <c r="G77" s="18"/>
    </row>
    <row r="78" spans="1:9" ht="24" customHeight="1">
      <c r="A78" s="142" t="s">
        <v>79</v>
      </c>
      <c r="B78" s="34" t="s">
        <v>63</v>
      </c>
      <c r="C78" s="35">
        <f>IF('BIO-GEO'!C9=0," ",'BIO-GEO'!C9)</f>
        <v>77</v>
      </c>
      <c r="D78" s="35" t="str">
        <f>IF('BIO-GEO'!D9=0," ",'BIO-GEO'!D9)</f>
        <v xml:space="preserve"> </v>
      </c>
      <c r="E78" s="35" t="str">
        <f>IF('BIO-GEO'!E9=0," ",'BIO-GEO'!E9)</f>
        <v xml:space="preserve"> </v>
      </c>
      <c r="F78" s="35">
        <f>IF('BIO-GEO'!F9=0," ",'BIO-GEO'!F9)</f>
        <v>26</v>
      </c>
      <c r="G78" s="18"/>
    </row>
    <row r="79" spans="1:9" ht="17.100000000000001" customHeight="1">
      <c r="A79" s="271" t="s">
        <v>39</v>
      </c>
      <c r="B79" s="34" t="s">
        <v>54</v>
      </c>
      <c r="C79" s="35">
        <f>IF(PSI!C9=0," ",PSI!C9)</f>
        <v>51</v>
      </c>
      <c r="D79" s="35" t="str">
        <f>IF(PSI!D9=0," ",PSI!D9)</f>
        <v xml:space="preserve"> </v>
      </c>
      <c r="E79" s="35" t="str">
        <f>IF(PSI!E9=0," ",PSI!E9)</f>
        <v xml:space="preserve"> </v>
      </c>
      <c r="F79" s="35">
        <f>IF(PSI!F9=0," ",PSI!F9)</f>
        <v>17</v>
      </c>
      <c r="G79" s="18"/>
    </row>
    <row r="80" spans="1:9" ht="17.100000000000001" customHeight="1">
      <c r="A80" s="271"/>
      <c r="B80" s="34" t="s">
        <v>55</v>
      </c>
      <c r="C80" s="35">
        <f>IF('REL.'!C9=0," ",'REL.'!C9)</f>
        <v>51.75</v>
      </c>
      <c r="D80" s="35" t="str">
        <f>IF('REL.'!D9=0," ",'REL.'!D9)</f>
        <v xml:space="preserve"> </v>
      </c>
      <c r="E80" s="35" t="str">
        <f>IF('REL.'!E9=0," ",'REL.'!E9)</f>
        <v xml:space="preserve"> </v>
      </c>
      <c r="F80" s="35">
        <f>IF('REL.'!F9=0," ",'REL.'!F9)</f>
        <v>17</v>
      </c>
      <c r="G80" s="18"/>
    </row>
    <row r="81" spans="1:9" ht="15.95" customHeight="1">
      <c r="A81" s="143"/>
      <c r="B81" s="144"/>
      <c r="C81" s="38"/>
      <c r="D81" s="38"/>
      <c r="E81" s="38"/>
      <c r="F81" s="38"/>
      <c r="G81" s="18"/>
    </row>
    <row r="82" spans="1:9" ht="17.25" customHeight="1">
      <c r="A82" s="18"/>
      <c r="B82" s="18"/>
      <c r="C82" s="278" t="s">
        <v>42</v>
      </c>
      <c r="D82" s="278"/>
      <c r="E82" s="278"/>
      <c r="F82" s="18"/>
      <c r="G82" s="18"/>
    </row>
    <row r="83" spans="1:9" ht="15.95" customHeight="1">
      <c r="A83" s="270" t="str">
        <f t="shared" ref="A83" si="3">$A$3</f>
        <v>U. E. ABAROA B</v>
      </c>
      <c r="B83" s="270"/>
      <c r="C83" s="18"/>
      <c r="D83" s="18"/>
      <c r="E83" s="18"/>
      <c r="F83" s="182" t="str">
        <f>NOMINA!$D$2</f>
        <v>GESTION: 2026</v>
      </c>
      <c r="G83" s="18"/>
    </row>
    <row r="84" spans="1:9" ht="21.95" customHeight="1">
      <c r="A84" s="273" t="str">
        <f>NOMINA!$B$2</f>
        <v>CURSO 2A</v>
      </c>
      <c r="B84" s="274"/>
      <c r="C84" s="280" t="str">
        <f>NOMINA!B10</f>
        <v>BAUTISTA GARCIA ALISON LUCIANA</v>
      </c>
      <c r="D84" s="281"/>
      <c r="E84" s="281"/>
      <c r="F84" s="281"/>
      <c r="G84" s="29"/>
    </row>
    <row r="85" spans="1:9" ht="15.95" customHeight="1">
      <c r="A85" s="297">
        <f>NOMINA!A10</f>
        <v>5</v>
      </c>
      <c r="B85" s="41"/>
      <c r="C85" s="185" t="s">
        <v>5</v>
      </c>
      <c r="D85" s="291" t="s">
        <v>9</v>
      </c>
      <c r="E85" s="292"/>
      <c r="F85" s="179" t="s">
        <v>7</v>
      </c>
      <c r="G85" s="18"/>
    </row>
    <row r="86" spans="1:9" ht="15.95" customHeight="1">
      <c r="A86" s="298"/>
      <c r="B86" s="44"/>
      <c r="C86" s="178">
        <f>NOMINA!C10</f>
        <v>0</v>
      </c>
      <c r="D86" s="295">
        <f>NOMINA!D10</f>
        <v>0</v>
      </c>
      <c r="E86" s="296"/>
      <c r="F86" s="181">
        <f>NOMINA!F10</f>
        <v>0</v>
      </c>
      <c r="G86" s="18"/>
    </row>
    <row r="87" spans="1:9" s="16" customFormat="1" ht="15.95" customHeight="1">
      <c r="A87" s="275" t="s">
        <v>35</v>
      </c>
      <c r="B87" s="282" t="s">
        <v>37</v>
      </c>
      <c r="C87" s="30" t="s">
        <v>84</v>
      </c>
      <c r="D87" s="30" t="s">
        <v>82</v>
      </c>
      <c r="E87" s="30" t="s">
        <v>83</v>
      </c>
      <c r="F87" s="180" t="s">
        <v>38</v>
      </c>
      <c r="G87" s="31"/>
      <c r="I87" s="17"/>
    </row>
    <row r="88" spans="1:9" s="16" customFormat="1" ht="15.95" customHeight="1">
      <c r="A88" s="276"/>
      <c r="B88" s="283"/>
      <c r="C88" s="32" t="s">
        <v>33</v>
      </c>
      <c r="D88" s="32" t="s">
        <v>33</v>
      </c>
      <c r="E88" s="32" t="s">
        <v>33</v>
      </c>
      <c r="F88" s="46" t="s">
        <v>33</v>
      </c>
      <c r="G88" s="31"/>
    </row>
    <row r="89" spans="1:9" ht="17.100000000000001" customHeight="1">
      <c r="A89" s="271" t="s">
        <v>45</v>
      </c>
      <c r="B89" s="34" t="s">
        <v>36</v>
      </c>
      <c r="C89" s="35">
        <f>IF(LEN!C10=0," ",LEN!C10)</f>
        <v>52</v>
      </c>
      <c r="D89" s="35" t="str">
        <f>IF(LEN!D10=0," ",LEN!D10)</f>
        <v xml:space="preserve"> </v>
      </c>
      <c r="E89" s="35" t="str">
        <f>IF(LEN!E10=0," ",LEN!E10)</f>
        <v xml:space="preserve"> </v>
      </c>
      <c r="F89" s="35">
        <f>IF(LEN!F10=0," ",LEN!F10)</f>
        <v>17</v>
      </c>
      <c r="G89" s="18"/>
    </row>
    <row r="90" spans="1:9" ht="17.100000000000001" customHeight="1">
      <c r="A90" s="271"/>
      <c r="B90" s="34" t="s">
        <v>10</v>
      </c>
      <c r="C90" s="35">
        <f>IF(ING!C10=0," ",ING!C10)</f>
        <v>57</v>
      </c>
      <c r="D90" s="35" t="str">
        <f>IF(ING!D10=0," ",ING!D10)</f>
        <v xml:space="preserve"> </v>
      </c>
      <c r="E90" s="35" t="str">
        <f>IF(ING!E10=0," ",ING!E10)</f>
        <v xml:space="preserve"> </v>
      </c>
      <c r="F90" s="35">
        <f>IF(ING!F10=0," ",ING!F10)</f>
        <v>19</v>
      </c>
      <c r="G90" s="18"/>
    </row>
    <row r="91" spans="1:9" ht="17.100000000000001" customHeight="1">
      <c r="A91" s="271"/>
      <c r="B91" s="34" t="s">
        <v>61</v>
      </c>
      <c r="C91" s="35">
        <f>IF('C.SOC'!C10=0," ",'C.SOC'!C10)</f>
        <v>51</v>
      </c>
      <c r="D91" s="35" t="str">
        <f>IF('C.SOC'!D10=0," ",'C.SOC'!D10)</f>
        <v xml:space="preserve"> </v>
      </c>
      <c r="E91" s="35" t="str">
        <f>IF('C.SOC'!E10=0," ",'C.SOC'!E10)</f>
        <v xml:space="preserve"> </v>
      </c>
      <c r="F91" s="35">
        <f>IF('C.SOC'!F10=0," ",'C.SOC'!F10)</f>
        <v>17</v>
      </c>
      <c r="G91" s="18"/>
    </row>
    <row r="92" spans="1:9" ht="17.100000000000001" customHeight="1">
      <c r="A92" s="271"/>
      <c r="B92" s="34" t="s">
        <v>43</v>
      </c>
      <c r="C92" s="35">
        <f>IF('E. FIS.'!C10=0," ",'E. FIS.'!C10)</f>
        <v>67</v>
      </c>
      <c r="D92" s="35" t="str">
        <f>IF('E. FIS.'!D10=0," ",'E. FIS.'!D10)</f>
        <v xml:space="preserve"> </v>
      </c>
      <c r="E92" s="35" t="str">
        <f>IF('E. FIS.'!E10=0," ",'E. FIS.'!E10)</f>
        <v xml:space="preserve"> </v>
      </c>
      <c r="F92" s="35">
        <f>IF('E. FIS.'!F10=0," ",'E. FIS.'!F10)</f>
        <v>22</v>
      </c>
      <c r="G92" s="18"/>
    </row>
    <row r="93" spans="1:9" ht="17.100000000000001" customHeight="1">
      <c r="A93" s="271"/>
      <c r="B93" s="34" t="s">
        <v>44</v>
      </c>
      <c r="C93" s="35">
        <f>IF(MUS.!C10=0," ",MUS.!C10)</f>
        <v>76</v>
      </c>
      <c r="D93" s="35" t="str">
        <f>IF(MUS.!D10=0," ",MUS.!D10)</f>
        <v xml:space="preserve"> </v>
      </c>
      <c r="E93" s="35" t="str">
        <f>IF(MUS.!E10=0," ",MUS.!E10)</f>
        <v xml:space="preserve"> </v>
      </c>
      <c r="F93" s="35">
        <f>IF(MUS.!F10=0," ",MUS.!F10)</f>
        <v>25</v>
      </c>
      <c r="G93" s="18"/>
    </row>
    <row r="94" spans="1:9" ht="17.100000000000001" customHeight="1">
      <c r="A94" s="271"/>
      <c r="B94" s="34" t="s">
        <v>11</v>
      </c>
      <c r="C94" s="35">
        <f>IF('A.PL. '!C10=0," ",'A.PL. '!C10)</f>
        <v>71</v>
      </c>
      <c r="D94" s="35" t="str">
        <f>IF('A.PL. '!D10=0," ",'A.PL. '!D10)</f>
        <v xml:space="preserve"> </v>
      </c>
      <c r="E94" s="35" t="str">
        <f>IF('A.PL. '!E10=0," ",'A.PL. '!E10)</f>
        <v xml:space="preserve"> </v>
      </c>
      <c r="F94" s="35">
        <f>IF('A.PL. '!F10=0," ",'A.PL. '!F10)</f>
        <v>24</v>
      </c>
      <c r="G94" s="18"/>
    </row>
    <row r="95" spans="1:9" ht="17.100000000000001" customHeight="1">
      <c r="A95" s="272" t="s">
        <v>64</v>
      </c>
      <c r="B95" s="34" t="s">
        <v>62</v>
      </c>
      <c r="C95" s="35">
        <f>IF(MAT!C10=0," ",MAT!C10)</f>
        <v>58</v>
      </c>
      <c r="D95" s="35" t="str">
        <f>IF(MAT!D10=0," ",MAT!D10)</f>
        <v xml:space="preserve"> </v>
      </c>
      <c r="E95" s="35" t="str">
        <f>IF(MAT!E10=0," ",MAT!E10)</f>
        <v xml:space="preserve"> </v>
      </c>
      <c r="F95" s="35">
        <f>IF(MAT!F10=0," ",MAT!F10)</f>
        <v>19</v>
      </c>
      <c r="G95" s="18"/>
    </row>
    <row r="96" spans="1:9" ht="17.100000000000001" customHeight="1">
      <c r="A96" s="272"/>
      <c r="B96" s="34" t="s">
        <v>101</v>
      </c>
      <c r="C96" s="35">
        <f>IF('T. TEC. GRAL'!C10=0," ",'T. TEC. GRAL'!C10)</f>
        <v>71</v>
      </c>
      <c r="D96" s="35" t="str">
        <f>IF('T. TEC. GRAL'!D10=0," ",'T. TEC. GRAL'!D10)</f>
        <v xml:space="preserve"> </v>
      </c>
      <c r="E96" s="35" t="str">
        <f>IF('T. TEC. GRAL'!E10=0," ",'T. TEC. GRAL'!E10)</f>
        <v xml:space="preserve"> </v>
      </c>
      <c r="F96" s="35">
        <f>IF('T. TEC. GRAL'!F10=0," ",'T. TEC. GRAL'!F10)</f>
        <v>24</v>
      </c>
      <c r="G96" s="18"/>
    </row>
    <row r="97" spans="1:9" ht="24" customHeight="1">
      <c r="A97" s="142" t="s">
        <v>79</v>
      </c>
      <c r="B97" s="34" t="s">
        <v>63</v>
      </c>
      <c r="C97" s="35">
        <f>IF('BIO-GEO'!C10=0," ",'BIO-GEO'!C10)</f>
        <v>70</v>
      </c>
      <c r="D97" s="35" t="str">
        <f>IF('BIO-GEO'!D10=0," ",'BIO-GEO'!D10)</f>
        <v xml:space="preserve"> </v>
      </c>
      <c r="E97" s="35" t="str">
        <f>IF('BIO-GEO'!E10=0," ",'BIO-GEO'!E10)</f>
        <v xml:space="preserve"> </v>
      </c>
      <c r="F97" s="35">
        <f>IF('BIO-GEO'!F10=0," ",'BIO-GEO'!F10)</f>
        <v>23</v>
      </c>
      <c r="G97" s="18"/>
    </row>
    <row r="98" spans="1:9" ht="17.100000000000001" customHeight="1">
      <c r="A98" s="271" t="s">
        <v>39</v>
      </c>
      <c r="B98" s="34" t="s">
        <v>54</v>
      </c>
      <c r="C98" s="35">
        <f>IF(PSI!C10=0," ",PSI!C10)</f>
        <v>66</v>
      </c>
      <c r="D98" s="35" t="str">
        <f>IF(PSI!D10=0," ",PSI!D10)</f>
        <v xml:space="preserve"> </v>
      </c>
      <c r="E98" s="35" t="str">
        <f>IF(PSI!E10=0," ",PSI!E10)</f>
        <v xml:space="preserve"> </v>
      </c>
      <c r="F98" s="35">
        <f>IF(PSI!F10=0," ",PSI!F10)</f>
        <v>22</v>
      </c>
      <c r="G98" s="18"/>
    </row>
    <row r="99" spans="1:9" ht="17.100000000000001" customHeight="1">
      <c r="A99" s="271"/>
      <c r="B99" s="34" t="s">
        <v>55</v>
      </c>
      <c r="C99" s="35">
        <f>IF('REL.'!C10=0," ",'REL.'!C10)</f>
        <v>78.833333333333343</v>
      </c>
      <c r="D99" s="35" t="str">
        <f>IF('REL.'!D10=0," ",'REL.'!D10)</f>
        <v xml:space="preserve"> </v>
      </c>
      <c r="E99" s="35" t="str">
        <f>IF('REL.'!E10=0," ",'REL.'!E10)</f>
        <v xml:space="preserve"> </v>
      </c>
      <c r="F99" s="35">
        <f>IF('REL.'!F10=0," ",'REL.'!F10)</f>
        <v>26</v>
      </c>
      <c r="G99" s="18"/>
    </row>
    <row r="100" spans="1:9" ht="15.95" customHeight="1">
      <c r="A100" s="143"/>
      <c r="B100" s="144"/>
      <c r="C100" s="38"/>
      <c r="D100" s="38"/>
      <c r="E100" s="38"/>
      <c r="F100" s="38"/>
      <c r="G100" s="18"/>
    </row>
    <row r="101" spans="1:9" ht="15.95" customHeight="1">
      <c r="A101" s="143"/>
      <c r="B101" s="144"/>
      <c r="C101" s="38"/>
      <c r="D101" s="38"/>
      <c r="E101" s="38"/>
      <c r="F101" s="38"/>
      <c r="G101" s="18"/>
    </row>
    <row r="102" spans="1:9" ht="20.100000000000001" customHeight="1">
      <c r="A102" s="36"/>
      <c r="B102" s="36"/>
      <c r="C102" s="37"/>
      <c r="D102" s="37"/>
      <c r="E102" s="37"/>
      <c r="F102" s="37"/>
      <c r="G102" s="18"/>
    </row>
    <row r="103" spans="1:9" ht="17.25" customHeight="1">
      <c r="A103" s="18"/>
      <c r="B103" s="18"/>
      <c r="C103" s="278" t="s">
        <v>42</v>
      </c>
      <c r="D103" s="278"/>
      <c r="E103" s="278"/>
      <c r="F103" s="18"/>
      <c r="G103" s="18"/>
    </row>
    <row r="104" spans="1:9" ht="15.95" customHeight="1">
      <c r="A104" s="270" t="str">
        <f t="shared" ref="A104" si="4">$A$3</f>
        <v>U. E. ABAROA B</v>
      </c>
      <c r="B104" s="270"/>
      <c r="C104" s="18"/>
      <c r="D104" s="18"/>
      <c r="E104" s="18"/>
      <c r="F104" s="182" t="str">
        <f>NOMINA!$D$2</f>
        <v>GESTION: 2026</v>
      </c>
      <c r="G104" s="18"/>
    </row>
    <row r="105" spans="1:9" ht="21.95" customHeight="1">
      <c r="A105" s="273" t="str">
        <f>NOMINA!$B$2</f>
        <v>CURSO 2A</v>
      </c>
      <c r="B105" s="274"/>
      <c r="C105" s="280" t="str">
        <f>NOMINA!B11</f>
        <v>BOLIVAR REVOLLO NIVARDO ADOLFO</v>
      </c>
      <c r="D105" s="281"/>
      <c r="E105" s="281"/>
      <c r="F105" s="281"/>
      <c r="G105" s="29"/>
    </row>
    <row r="106" spans="1:9" ht="15.95" customHeight="1">
      <c r="A106" s="279">
        <f>NOMINA!A11</f>
        <v>6</v>
      </c>
      <c r="B106" s="41"/>
      <c r="C106" s="47" t="s">
        <v>5</v>
      </c>
      <c r="D106" s="271" t="s">
        <v>9</v>
      </c>
      <c r="E106" s="271"/>
      <c r="F106" s="179" t="s">
        <v>7</v>
      </c>
      <c r="G106" s="18"/>
    </row>
    <row r="107" spans="1:9" ht="15.95" customHeight="1">
      <c r="A107" s="279"/>
      <c r="B107" s="44"/>
      <c r="C107" s="178">
        <f>NOMINA!C11</f>
        <v>0</v>
      </c>
      <c r="D107" s="284">
        <f>NOMINA!D11</f>
        <v>0</v>
      </c>
      <c r="E107" s="284"/>
      <c r="F107" s="181">
        <f>NOMINA!F11</f>
        <v>0</v>
      </c>
      <c r="G107" s="18"/>
    </row>
    <row r="108" spans="1:9" s="16" customFormat="1" ht="15.95" customHeight="1">
      <c r="A108" s="275" t="s">
        <v>35</v>
      </c>
      <c r="B108" s="282" t="s">
        <v>37</v>
      </c>
      <c r="C108" s="30" t="s">
        <v>84</v>
      </c>
      <c r="D108" s="30" t="s">
        <v>82</v>
      </c>
      <c r="E108" s="30" t="s">
        <v>83</v>
      </c>
      <c r="F108" s="180" t="s">
        <v>38</v>
      </c>
      <c r="G108" s="31"/>
      <c r="I108" s="17"/>
    </row>
    <row r="109" spans="1:9" s="16" customFormat="1" ht="15.95" customHeight="1">
      <c r="A109" s="276"/>
      <c r="B109" s="283"/>
      <c r="C109" s="32" t="s">
        <v>33</v>
      </c>
      <c r="D109" s="32" t="s">
        <v>33</v>
      </c>
      <c r="E109" s="32" t="s">
        <v>33</v>
      </c>
      <c r="F109" s="46" t="s">
        <v>33</v>
      </c>
      <c r="G109" s="31"/>
    </row>
    <row r="110" spans="1:9" ht="17.100000000000001" customHeight="1">
      <c r="A110" s="271" t="s">
        <v>45</v>
      </c>
      <c r="B110" s="34" t="s">
        <v>36</v>
      </c>
      <c r="C110" s="35">
        <f>IF(LEN!C11=0," ",LEN!C11)</f>
        <v>51</v>
      </c>
      <c r="D110" s="35" t="str">
        <f>IF(LEN!D11=0," ",LEN!D11)</f>
        <v xml:space="preserve"> </v>
      </c>
      <c r="E110" s="35" t="str">
        <f>IF(LEN!E11=0," ",LEN!E11)</f>
        <v xml:space="preserve"> </v>
      </c>
      <c r="F110" s="35">
        <f>IF(LEN!F11=0," ",LEN!F11)</f>
        <v>17</v>
      </c>
      <c r="G110" s="18"/>
    </row>
    <row r="111" spans="1:9" ht="17.100000000000001" customHeight="1">
      <c r="A111" s="271"/>
      <c r="B111" s="34" t="s">
        <v>10</v>
      </c>
      <c r="C111" s="35">
        <f>IF(ING!C11=0," ",ING!C11)</f>
        <v>63</v>
      </c>
      <c r="D111" s="35" t="str">
        <f>IF(ING!D11=0," ",ING!D11)</f>
        <v xml:space="preserve"> </v>
      </c>
      <c r="E111" s="35" t="str">
        <f>IF(ING!E11=0," ",ING!E11)</f>
        <v xml:space="preserve"> </v>
      </c>
      <c r="F111" s="35">
        <f>IF(ING!F11=0," ",ING!F11)</f>
        <v>21</v>
      </c>
      <c r="G111" s="18"/>
    </row>
    <row r="112" spans="1:9" ht="17.100000000000001" customHeight="1">
      <c r="A112" s="271"/>
      <c r="B112" s="34" t="s">
        <v>61</v>
      </c>
      <c r="C112" s="35">
        <f>IF('C.SOC'!C11=0," ",'C.SOC'!C11)</f>
        <v>43</v>
      </c>
      <c r="D112" s="35" t="str">
        <f>IF('C.SOC'!D11=0," ",'C.SOC'!D11)</f>
        <v xml:space="preserve"> </v>
      </c>
      <c r="E112" s="35" t="str">
        <f>IF('C.SOC'!E11=0," ",'C.SOC'!E11)</f>
        <v xml:space="preserve"> </v>
      </c>
      <c r="F112" s="35">
        <f>IF('C.SOC'!F11=0," ",'C.SOC'!F11)</f>
        <v>14</v>
      </c>
      <c r="G112" s="18"/>
    </row>
    <row r="113" spans="1:9" ht="17.100000000000001" customHeight="1">
      <c r="A113" s="271"/>
      <c r="B113" s="34" t="s">
        <v>43</v>
      </c>
      <c r="C113" s="35">
        <f>IF('E. FIS.'!C11=0," ",'E. FIS.'!C11)</f>
        <v>59</v>
      </c>
      <c r="D113" s="35" t="str">
        <f>IF('E. FIS.'!D11=0," ",'E. FIS.'!D11)</f>
        <v xml:space="preserve"> </v>
      </c>
      <c r="E113" s="35" t="str">
        <f>IF('E. FIS.'!E11=0," ",'E. FIS.'!E11)</f>
        <v xml:space="preserve"> </v>
      </c>
      <c r="F113" s="35">
        <f>IF('E. FIS.'!F11=0," ",'E. FIS.'!F11)</f>
        <v>20</v>
      </c>
      <c r="G113" s="18"/>
    </row>
    <row r="114" spans="1:9" ht="17.100000000000001" customHeight="1">
      <c r="A114" s="271"/>
      <c r="B114" s="34" t="s">
        <v>44</v>
      </c>
      <c r="C114" s="35">
        <f>IF(MUS.!C11=0," ",MUS.!C11)</f>
        <v>72</v>
      </c>
      <c r="D114" s="35" t="str">
        <f>IF(MUS.!D11=0," ",MUS.!D11)</f>
        <v xml:space="preserve"> </v>
      </c>
      <c r="E114" s="35" t="str">
        <f>IF(MUS.!E11=0," ",MUS.!E11)</f>
        <v xml:space="preserve"> </v>
      </c>
      <c r="F114" s="35">
        <f>IF(MUS.!F11=0," ",MUS.!F11)</f>
        <v>24</v>
      </c>
      <c r="G114" s="18"/>
    </row>
    <row r="115" spans="1:9" ht="17.100000000000001" customHeight="1">
      <c r="A115" s="271"/>
      <c r="B115" s="34" t="s">
        <v>11</v>
      </c>
      <c r="C115" s="35">
        <f>IF('A.PL. '!C11=0," ",'A.PL. '!C11)</f>
        <v>53</v>
      </c>
      <c r="D115" s="35" t="str">
        <f>IF('A.PL. '!D11=0," ",'A.PL. '!D11)</f>
        <v xml:space="preserve"> </v>
      </c>
      <c r="E115" s="35" t="str">
        <f>IF('A.PL. '!E11=0," ",'A.PL. '!E11)</f>
        <v xml:space="preserve"> </v>
      </c>
      <c r="F115" s="35">
        <f>IF('A.PL. '!F11=0," ",'A.PL. '!F11)</f>
        <v>18</v>
      </c>
      <c r="G115" s="18"/>
    </row>
    <row r="116" spans="1:9" ht="17.100000000000001" customHeight="1">
      <c r="A116" s="272" t="s">
        <v>64</v>
      </c>
      <c r="B116" s="34" t="s">
        <v>62</v>
      </c>
      <c r="C116" s="35">
        <f>IF(MAT!C11=0," ",MAT!C11)</f>
        <v>46</v>
      </c>
      <c r="D116" s="35" t="str">
        <f>IF(MAT!D11=0," ",MAT!D11)</f>
        <v xml:space="preserve"> </v>
      </c>
      <c r="E116" s="35" t="str">
        <f>IF(MAT!E11=0," ",MAT!E11)</f>
        <v xml:space="preserve"> </v>
      </c>
      <c r="F116" s="35">
        <f>IF(MAT!F11=0," ",MAT!F11)</f>
        <v>15</v>
      </c>
      <c r="G116" s="18"/>
    </row>
    <row r="117" spans="1:9" ht="17.100000000000001" customHeight="1">
      <c r="A117" s="272"/>
      <c r="B117" s="34" t="s">
        <v>101</v>
      </c>
      <c r="C117" s="35">
        <f>IF('T. TEC. GRAL'!C11=0," ",'T. TEC. GRAL'!C11)</f>
        <v>66</v>
      </c>
      <c r="D117" s="35" t="str">
        <f>IF('T. TEC. GRAL'!D11=0," ",'T. TEC. GRAL'!D11)</f>
        <v xml:space="preserve"> </v>
      </c>
      <c r="E117" s="35" t="str">
        <f>IF('T. TEC. GRAL'!E11=0," ",'T. TEC. GRAL'!E11)</f>
        <v xml:space="preserve"> </v>
      </c>
      <c r="F117" s="35">
        <f>IF('T. TEC. GRAL'!F11=0," ",'T. TEC. GRAL'!F11)</f>
        <v>22</v>
      </c>
      <c r="G117" s="18"/>
    </row>
    <row r="118" spans="1:9" ht="24" customHeight="1">
      <c r="A118" s="142" t="s">
        <v>79</v>
      </c>
      <c r="B118" s="34" t="s">
        <v>63</v>
      </c>
      <c r="C118" s="35">
        <f>IF('BIO-GEO'!C11=0," ",'BIO-GEO'!C11)</f>
        <v>61</v>
      </c>
      <c r="D118" s="35" t="str">
        <f>IF('BIO-GEO'!D11=0," ",'BIO-GEO'!D11)</f>
        <v xml:space="preserve"> </v>
      </c>
      <c r="E118" s="35" t="str">
        <f>IF('BIO-GEO'!E11=0," ",'BIO-GEO'!E11)</f>
        <v xml:space="preserve"> </v>
      </c>
      <c r="F118" s="35">
        <f>IF('BIO-GEO'!F11=0," ",'BIO-GEO'!F11)</f>
        <v>20</v>
      </c>
      <c r="G118" s="18"/>
    </row>
    <row r="119" spans="1:9" ht="17.100000000000001" customHeight="1">
      <c r="A119" s="271" t="s">
        <v>39</v>
      </c>
      <c r="B119" s="34" t="s">
        <v>54</v>
      </c>
      <c r="C119" s="35">
        <f>IF(PSI!C11=0," ",PSI!C11)</f>
        <v>64</v>
      </c>
      <c r="D119" s="35" t="str">
        <f>IF(PSI!D11=0," ",PSI!D11)</f>
        <v xml:space="preserve"> </v>
      </c>
      <c r="E119" s="35" t="str">
        <f>IF(PSI!E11=0," ",PSI!E11)</f>
        <v xml:space="preserve"> </v>
      </c>
      <c r="F119" s="35">
        <f>IF(PSI!F11=0," ",PSI!F11)</f>
        <v>21</v>
      </c>
      <c r="G119" s="18"/>
    </row>
    <row r="120" spans="1:9" ht="17.100000000000001" customHeight="1">
      <c r="A120" s="271"/>
      <c r="B120" s="34" t="s">
        <v>55</v>
      </c>
      <c r="C120" s="35">
        <f>IF('REL.'!C11=0," ",'REL.'!C11)</f>
        <v>77.166666666666671</v>
      </c>
      <c r="D120" s="35" t="str">
        <f>IF('REL.'!D11=0," ",'REL.'!D11)</f>
        <v xml:space="preserve"> </v>
      </c>
      <c r="E120" s="35" t="str">
        <f>IF('REL.'!E11=0," ",'REL.'!E11)</f>
        <v xml:space="preserve"> </v>
      </c>
      <c r="F120" s="35">
        <f>IF('REL.'!F11=0," ",'REL.'!F11)</f>
        <v>26</v>
      </c>
      <c r="G120" s="18"/>
    </row>
    <row r="121" spans="1:9" ht="21" customHeight="1">
      <c r="A121" s="143"/>
      <c r="B121" s="144"/>
      <c r="C121" s="38"/>
      <c r="D121" s="38"/>
      <c r="E121" s="38"/>
      <c r="F121" s="38"/>
      <c r="G121" s="18"/>
    </row>
    <row r="122" spans="1:9" ht="17.25" customHeight="1">
      <c r="A122" s="18"/>
      <c r="B122" s="18"/>
      <c r="C122" s="278" t="s">
        <v>42</v>
      </c>
      <c r="D122" s="278"/>
      <c r="E122" s="278"/>
      <c r="F122" s="18"/>
      <c r="G122" s="18"/>
    </row>
    <row r="123" spans="1:9" ht="15.95" customHeight="1">
      <c r="A123" s="270" t="str">
        <f t="shared" ref="A123" si="5">$A$3</f>
        <v>U. E. ABAROA B</v>
      </c>
      <c r="B123" s="270"/>
      <c r="C123" s="39"/>
      <c r="D123" s="39"/>
      <c r="E123" s="39"/>
      <c r="F123" s="182" t="str">
        <f>NOMINA!$D$2</f>
        <v>GESTION: 2026</v>
      </c>
      <c r="G123" s="18"/>
    </row>
    <row r="124" spans="1:9" ht="21.95" customHeight="1">
      <c r="A124" s="304" t="str">
        <f>NOMINA!$B$2</f>
        <v>CURSO 2A</v>
      </c>
      <c r="B124" s="305"/>
      <c r="C124" s="302" t="str">
        <f>NOMINA!B12</f>
        <v>CADIMA SOLIZ NICOLAS</v>
      </c>
      <c r="D124" s="303"/>
      <c r="E124" s="303"/>
      <c r="F124" s="303"/>
      <c r="G124" s="29"/>
    </row>
    <row r="125" spans="1:9" ht="15.95" customHeight="1">
      <c r="A125" s="297">
        <f>NOMINA!A12</f>
        <v>7</v>
      </c>
      <c r="B125" s="41"/>
      <c r="C125" s="185" t="s">
        <v>5</v>
      </c>
      <c r="D125" s="291" t="s">
        <v>9</v>
      </c>
      <c r="E125" s="292"/>
      <c r="F125" s="187" t="s">
        <v>7</v>
      </c>
      <c r="G125" s="18"/>
    </row>
    <row r="126" spans="1:9" ht="15.95" customHeight="1">
      <c r="A126" s="298"/>
      <c r="B126" s="44"/>
      <c r="C126" s="178">
        <f>NOMINA!C12</f>
        <v>0</v>
      </c>
      <c r="D126" s="295">
        <f>NOMINA!D12</f>
        <v>0</v>
      </c>
      <c r="E126" s="296"/>
      <c r="F126" s="186">
        <f>NOMINA!F12</f>
        <v>0</v>
      </c>
      <c r="G126" s="18"/>
    </row>
    <row r="127" spans="1:9" s="16" customFormat="1" ht="15.95" customHeight="1">
      <c r="A127" s="275" t="s">
        <v>35</v>
      </c>
      <c r="B127" s="282" t="s">
        <v>37</v>
      </c>
      <c r="C127" s="30" t="s">
        <v>84</v>
      </c>
      <c r="D127" s="30" t="s">
        <v>82</v>
      </c>
      <c r="E127" s="30" t="s">
        <v>83</v>
      </c>
      <c r="F127" s="180" t="s">
        <v>38</v>
      </c>
      <c r="G127" s="31"/>
      <c r="I127" s="17"/>
    </row>
    <row r="128" spans="1:9" s="16" customFormat="1" ht="15.95" customHeight="1">
      <c r="A128" s="276"/>
      <c r="B128" s="283"/>
      <c r="C128" s="32" t="s">
        <v>33</v>
      </c>
      <c r="D128" s="32" t="s">
        <v>33</v>
      </c>
      <c r="E128" s="32" t="s">
        <v>33</v>
      </c>
      <c r="F128" s="46" t="s">
        <v>33</v>
      </c>
      <c r="G128" s="31"/>
    </row>
    <row r="129" spans="1:7" ht="17.100000000000001" customHeight="1">
      <c r="A129" s="271" t="s">
        <v>45</v>
      </c>
      <c r="B129" s="34" t="s">
        <v>36</v>
      </c>
      <c r="C129" s="35">
        <f>IF(LEN!C12=0," ",LEN!C12)</f>
        <v>46</v>
      </c>
      <c r="D129" s="35" t="str">
        <f>IF(LEN!D12=0," ",LEN!D12)</f>
        <v xml:space="preserve"> </v>
      </c>
      <c r="E129" s="35" t="str">
        <f>IF(LEN!E12=0," ",LEN!E12)</f>
        <v xml:space="preserve"> </v>
      </c>
      <c r="F129" s="35">
        <f>IF(LEN!F12=0," ",LEN!F12)</f>
        <v>15</v>
      </c>
      <c r="G129" s="18"/>
    </row>
    <row r="130" spans="1:7" ht="17.100000000000001" customHeight="1">
      <c r="A130" s="271"/>
      <c r="B130" s="34" t="s">
        <v>10</v>
      </c>
      <c r="C130" s="35">
        <f>IF(ING!C12=0," ",ING!C12)</f>
        <v>47</v>
      </c>
      <c r="D130" s="35" t="str">
        <f>IF(ING!D12=0," ",ING!D12)</f>
        <v xml:space="preserve"> </v>
      </c>
      <c r="E130" s="35" t="str">
        <f>IF(ING!E12=0," ",ING!E12)</f>
        <v xml:space="preserve"> </v>
      </c>
      <c r="F130" s="35">
        <f>IF(ING!F12=0," ",ING!F12)</f>
        <v>16</v>
      </c>
      <c r="G130" s="18"/>
    </row>
    <row r="131" spans="1:7" ht="17.100000000000001" customHeight="1">
      <c r="A131" s="271"/>
      <c r="B131" s="34" t="s">
        <v>61</v>
      </c>
      <c r="C131" s="35">
        <f>IF('C.SOC'!C12=0," ",'C.SOC'!C12)</f>
        <v>40</v>
      </c>
      <c r="D131" s="35" t="str">
        <f>IF('C.SOC'!D12=0," ",'C.SOC'!D12)</f>
        <v xml:space="preserve"> </v>
      </c>
      <c r="E131" s="35" t="str">
        <f>IF('C.SOC'!E12=0," ",'C.SOC'!E12)</f>
        <v xml:space="preserve"> </v>
      </c>
      <c r="F131" s="35">
        <f>IF('C.SOC'!F12=0," ",'C.SOC'!F12)</f>
        <v>13</v>
      </c>
      <c r="G131" s="18"/>
    </row>
    <row r="132" spans="1:7" ht="17.100000000000001" customHeight="1">
      <c r="A132" s="271"/>
      <c r="B132" s="34" t="s">
        <v>43</v>
      </c>
      <c r="C132" s="35">
        <f>IF('E. FIS.'!C12=0," ",'E. FIS.'!C12)</f>
        <v>69</v>
      </c>
      <c r="D132" s="35" t="str">
        <f>IF('E. FIS.'!D12=0," ",'E. FIS.'!D12)</f>
        <v xml:space="preserve"> </v>
      </c>
      <c r="E132" s="35" t="str">
        <f>IF('E. FIS.'!E12=0," ",'E. FIS.'!E12)</f>
        <v xml:space="preserve"> </v>
      </c>
      <c r="F132" s="35">
        <f>IF('E. FIS.'!F12=0," ",'E. FIS.'!F12)</f>
        <v>23</v>
      </c>
      <c r="G132" s="18"/>
    </row>
    <row r="133" spans="1:7" ht="17.100000000000001" customHeight="1">
      <c r="A133" s="271"/>
      <c r="B133" s="34" t="s">
        <v>44</v>
      </c>
      <c r="C133" s="35">
        <f>IF(MUS.!C12=0," ",MUS.!C12)</f>
        <v>66</v>
      </c>
      <c r="D133" s="35" t="str">
        <f>IF(MUS.!D12=0," ",MUS.!D12)</f>
        <v xml:space="preserve"> </v>
      </c>
      <c r="E133" s="35" t="str">
        <f>IF(MUS.!E12=0," ",MUS.!E12)</f>
        <v xml:space="preserve"> </v>
      </c>
      <c r="F133" s="35">
        <f>IF(MUS.!F12=0," ",MUS.!F12)</f>
        <v>22</v>
      </c>
      <c r="G133" s="18"/>
    </row>
    <row r="134" spans="1:7" ht="17.100000000000001" customHeight="1">
      <c r="A134" s="271"/>
      <c r="B134" s="34" t="s">
        <v>11</v>
      </c>
      <c r="C134" s="35">
        <f>IF('A.PL. '!C12=0," ",'A.PL. '!C12)</f>
        <v>59</v>
      </c>
      <c r="D134" s="35" t="str">
        <f>IF('A.PL. '!D12=0," ",'A.PL. '!D12)</f>
        <v xml:space="preserve"> </v>
      </c>
      <c r="E134" s="35" t="str">
        <f>IF('A.PL. '!E12=0," ",'A.PL. '!E12)</f>
        <v xml:space="preserve"> </v>
      </c>
      <c r="F134" s="35">
        <f>IF('A.PL. '!F12=0," ",'A.PL. '!F12)</f>
        <v>20</v>
      </c>
      <c r="G134" s="18"/>
    </row>
    <row r="135" spans="1:7" ht="17.100000000000001" customHeight="1">
      <c r="A135" s="272" t="s">
        <v>64</v>
      </c>
      <c r="B135" s="34" t="s">
        <v>62</v>
      </c>
      <c r="C135" s="35">
        <f>IF(MAT!C12=0," ",MAT!C12)</f>
        <v>46</v>
      </c>
      <c r="D135" s="35" t="str">
        <f>IF(MAT!D12=0," ",MAT!D12)</f>
        <v xml:space="preserve"> </v>
      </c>
      <c r="E135" s="35" t="str">
        <f>IF(MAT!E12=0," ",MAT!E12)</f>
        <v xml:space="preserve"> </v>
      </c>
      <c r="F135" s="35">
        <f>IF(MAT!F12=0," ",MAT!F12)</f>
        <v>15</v>
      </c>
      <c r="G135" s="18"/>
    </row>
    <row r="136" spans="1:7" ht="17.100000000000001" customHeight="1">
      <c r="A136" s="272"/>
      <c r="B136" s="34" t="s">
        <v>101</v>
      </c>
      <c r="C136" s="35">
        <f>IF('T. TEC. GRAL'!C12=0," ",'T. TEC. GRAL'!C12)</f>
        <v>57</v>
      </c>
      <c r="D136" s="35" t="str">
        <f>IF('T. TEC. GRAL'!D12=0," ",'T. TEC. GRAL'!D12)</f>
        <v xml:space="preserve"> </v>
      </c>
      <c r="E136" s="35" t="str">
        <f>IF('T. TEC. GRAL'!E12=0," ",'T. TEC. GRAL'!E12)</f>
        <v xml:space="preserve"> </v>
      </c>
      <c r="F136" s="35">
        <f>IF('T. TEC. GRAL'!F12=0," ",'T. TEC. GRAL'!F12)</f>
        <v>19</v>
      </c>
      <c r="G136" s="18"/>
    </row>
    <row r="137" spans="1:7" ht="24" customHeight="1">
      <c r="A137" s="142" t="s">
        <v>79</v>
      </c>
      <c r="B137" s="34" t="s">
        <v>63</v>
      </c>
      <c r="C137" s="35">
        <f>IF('BIO-GEO'!C12=0," ",'BIO-GEO'!C12)</f>
        <v>67</v>
      </c>
      <c r="D137" s="35" t="str">
        <f>IF('BIO-GEO'!D12=0," ",'BIO-GEO'!D12)</f>
        <v xml:space="preserve"> </v>
      </c>
      <c r="E137" s="35" t="str">
        <f>IF('BIO-GEO'!E12=0," ",'BIO-GEO'!E12)</f>
        <v xml:space="preserve"> </v>
      </c>
      <c r="F137" s="35">
        <f>IF('BIO-GEO'!F12=0," ",'BIO-GEO'!F12)</f>
        <v>22</v>
      </c>
      <c r="G137" s="18"/>
    </row>
    <row r="138" spans="1:7" ht="17.100000000000001" customHeight="1">
      <c r="A138" s="271" t="s">
        <v>39</v>
      </c>
      <c r="B138" s="34" t="s">
        <v>54</v>
      </c>
      <c r="C138" s="35">
        <f>IF(PSI!C12=0," ",PSI!C12)</f>
        <v>67</v>
      </c>
      <c r="D138" s="35" t="str">
        <f>IF(PSI!D12=0," ",PSI!D12)</f>
        <v xml:space="preserve"> </v>
      </c>
      <c r="E138" s="35" t="str">
        <f>IF(PSI!E12=0," ",PSI!E12)</f>
        <v xml:space="preserve"> </v>
      </c>
      <c r="F138" s="35">
        <f>IF(PSI!F12=0," ",PSI!F12)</f>
        <v>22</v>
      </c>
      <c r="G138" s="18"/>
    </row>
    <row r="139" spans="1:7" ht="17.100000000000001" customHeight="1">
      <c r="A139" s="271"/>
      <c r="B139" s="34" t="s">
        <v>55</v>
      </c>
      <c r="C139" s="35">
        <f>IF('REL.'!C12=0," ",'REL.'!C12)</f>
        <v>66.166666666666671</v>
      </c>
      <c r="D139" s="35" t="str">
        <f>IF('REL.'!D12=0," ",'REL.'!D12)</f>
        <v xml:space="preserve"> </v>
      </c>
      <c r="E139" s="35" t="str">
        <f>IF('REL.'!E12=0," ",'REL.'!E12)</f>
        <v xml:space="preserve"> </v>
      </c>
      <c r="F139" s="35">
        <f>IF('REL.'!F12=0," ",'REL.'!F12)</f>
        <v>22</v>
      </c>
      <c r="G139" s="18"/>
    </row>
    <row r="140" spans="1:7" ht="15.95" customHeight="1">
      <c r="A140" s="143"/>
      <c r="B140" s="144"/>
      <c r="C140" s="38"/>
      <c r="D140" s="38"/>
      <c r="E140" s="38"/>
      <c r="F140" s="38"/>
      <c r="G140" s="18"/>
    </row>
    <row r="141" spans="1:7" ht="17.25" customHeight="1">
      <c r="A141" s="143"/>
      <c r="B141" s="144"/>
      <c r="C141" s="38"/>
      <c r="D141" s="38"/>
      <c r="E141" s="38"/>
      <c r="F141" s="38"/>
      <c r="G141" s="18"/>
    </row>
    <row r="142" spans="1:7" ht="15.95" customHeight="1">
      <c r="A142" s="143"/>
      <c r="B142" s="144"/>
      <c r="C142" s="38"/>
      <c r="D142" s="38"/>
      <c r="E142" s="38"/>
      <c r="F142" s="38"/>
      <c r="G142" s="18"/>
    </row>
    <row r="143" spans="1:7" ht="17.25" customHeight="1">
      <c r="A143" s="18"/>
      <c r="B143" s="18"/>
      <c r="C143" s="278" t="s">
        <v>42</v>
      </c>
      <c r="D143" s="278"/>
      <c r="E143" s="278"/>
      <c r="F143" s="18"/>
      <c r="G143" s="18"/>
    </row>
    <row r="144" spans="1:7" ht="15.95" customHeight="1">
      <c r="A144" s="270" t="str">
        <f t="shared" ref="A144" si="6">$A$3</f>
        <v>U. E. ABAROA B</v>
      </c>
      <c r="B144" s="270"/>
      <c r="C144" s="18"/>
      <c r="D144" s="18"/>
      <c r="E144" s="18"/>
      <c r="F144" s="182" t="str">
        <f>NOMINA!$D$2</f>
        <v>GESTION: 2026</v>
      </c>
      <c r="G144" s="18"/>
    </row>
    <row r="145" spans="1:9" s="14" customFormat="1" ht="21.95" customHeight="1">
      <c r="A145" s="273" t="str">
        <f>NOMINA!$B$2</f>
        <v>CURSO 2A</v>
      </c>
      <c r="B145" s="274"/>
      <c r="C145" s="280" t="str">
        <f>NOMINA!B13</f>
        <v>CALLE PEREZ ANDREA BELEN</v>
      </c>
      <c r="D145" s="281"/>
      <c r="E145" s="281"/>
      <c r="F145" s="281"/>
      <c r="G145" s="49"/>
    </row>
    <row r="146" spans="1:9" ht="15.95" customHeight="1">
      <c r="A146" s="279">
        <f>NOMINA!A13</f>
        <v>8</v>
      </c>
      <c r="B146" s="41"/>
      <c r="C146" s="42" t="s">
        <v>5</v>
      </c>
      <c r="D146" s="271" t="s">
        <v>9</v>
      </c>
      <c r="E146" s="271"/>
      <c r="F146" s="179" t="s">
        <v>7</v>
      </c>
      <c r="G146" s="18"/>
    </row>
    <row r="147" spans="1:9" ht="15.95" customHeight="1">
      <c r="A147" s="279"/>
      <c r="B147" s="44"/>
      <c r="C147" s="178">
        <f>NOMINA!C13</f>
        <v>0</v>
      </c>
      <c r="D147" s="284">
        <f>NOMINA!D13</f>
        <v>0</v>
      </c>
      <c r="E147" s="284"/>
      <c r="F147" s="181">
        <f>NOMINA!F13</f>
        <v>0</v>
      </c>
      <c r="G147" s="18"/>
    </row>
    <row r="148" spans="1:9" s="16" customFormat="1" ht="15.95" customHeight="1">
      <c r="A148" s="275" t="s">
        <v>35</v>
      </c>
      <c r="B148" s="282" t="s">
        <v>37</v>
      </c>
      <c r="C148" s="30" t="s">
        <v>84</v>
      </c>
      <c r="D148" s="30" t="s">
        <v>82</v>
      </c>
      <c r="E148" s="30" t="s">
        <v>83</v>
      </c>
      <c r="F148" s="180" t="s">
        <v>38</v>
      </c>
      <c r="G148" s="31"/>
      <c r="I148" s="17"/>
    </row>
    <row r="149" spans="1:9" s="16" customFormat="1" ht="15.95" customHeight="1">
      <c r="A149" s="276"/>
      <c r="B149" s="283"/>
      <c r="C149" s="32" t="s">
        <v>33</v>
      </c>
      <c r="D149" s="32" t="s">
        <v>33</v>
      </c>
      <c r="E149" s="32" t="s">
        <v>33</v>
      </c>
      <c r="F149" s="46" t="s">
        <v>33</v>
      </c>
      <c r="G149" s="31"/>
    </row>
    <row r="150" spans="1:9" ht="17.100000000000001" customHeight="1">
      <c r="A150" s="271" t="s">
        <v>45</v>
      </c>
      <c r="B150" s="34" t="s">
        <v>36</v>
      </c>
      <c r="C150" s="35">
        <f>IF(LEN!C13=0," ",LEN!C13)</f>
        <v>78</v>
      </c>
      <c r="D150" s="35" t="str">
        <f>IF(LEN!D13=0," ",LEN!D13)</f>
        <v xml:space="preserve"> </v>
      </c>
      <c r="E150" s="35" t="str">
        <f>IF(LEN!E13=0," ",LEN!E13)</f>
        <v xml:space="preserve"> </v>
      </c>
      <c r="F150" s="35">
        <f>IF(LEN!F13=0," ",LEN!F13)</f>
        <v>26</v>
      </c>
      <c r="G150" s="18"/>
    </row>
    <row r="151" spans="1:9" ht="17.100000000000001" customHeight="1">
      <c r="A151" s="271"/>
      <c r="B151" s="34" t="s">
        <v>10</v>
      </c>
      <c r="C151" s="35">
        <f>IF(ING!C13=0," ",ING!C13)</f>
        <v>80</v>
      </c>
      <c r="D151" s="35" t="str">
        <f>IF(ING!D13=0," ",ING!D13)</f>
        <v xml:space="preserve"> </v>
      </c>
      <c r="E151" s="35" t="str">
        <f>IF(ING!E13=0," ",ING!E13)</f>
        <v xml:space="preserve"> </v>
      </c>
      <c r="F151" s="35">
        <f>IF(ING!F13=0," ",ING!F13)</f>
        <v>27</v>
      </c>
      <c r="G151" s="18"/>
    </row>
    <row r="152" spans="1:9" ht="17.100000000000001" customHeight="1">
      <c r="A152" s="271"/>
      <c r="B152" s="34" t="s">
        <v>61</v>
      </c>
      <c r="C152" s="35">
        <f>IF('C.SOC'!C13=0," ",'C.SOC'!C13)</f>
        <v>75</v>
      </c>
      <c r="D152" s="35" t="str">
        <f>IF('C.SOC'!D13=0," ",'C.SOC'!D13)</f>
        <v xml:space="preserve"> </v>
      </c>
      <c r="E152" s="35" t="str">
        <f>IF('C.SOC'!E13=0," ",'C.SOC'!E13)</f>
        <v xml:space="preserve"> </v>
      </c>
      <c r="F152" s="35">
        <f>IF('C.SOC'!F13=0," ",'C.SOC'!F13)</f>
        <v>25</v>
      </c>
      <c r="G152" s="18"/>
    </row>
    <row r="153" spans="1:9" ht="17.100000000000001" customHeight="1">
      <c r="A153" s="271"/>
      <c r="B153" s="34" t="s">
        <v>43</v>
      </c>
      <c r="C153" s="35">
        <f>IF('E. FIS.'!C13=0," ",'E. FIS.'!C13)</f>
        <v>67</v>
      </c>
      <c r="D153" s="35" t="str">
        <f>IF('E. FIS.'!D13=0," ",'E. FIS.'!D13)</f>
        <v xml:space="preserve"> </v>
      </c>
      <c r="E153" s="35" t="str">
        <f>IF('E. FIS.'!E13=0," ",'E. FIS.'!E13)</f>
        <v xml:space="preserve"> </v>
      </c>
      <c r="F153" s="35">
        <f>IF('E. FIS.'!F13=0," ",'E. FIS.'!F13)</f>
        <v>22</v>
      </c>
      <c r="G153" s="18"/>
    </row>
    <row r="154" spans="1:9" ht="17.100000000000001" customHeight="1">
      <c r="A154" s="271"/>
      <c r="B154" s="34" t="s">
        <v>44</v>
      </c>
      <c r="C154" s="35">
        <f>IF(MUS.!C13=0," ",MUS.!C13)</f>
        <v>97</v>
      </c>
      <c r="D154" s="35" t="str">
        <f>IF(MUS.!D13=0," ",MUS.!D13)</f>
        <v xml:space="preserve"> </v>
      </c>
      <c r="E154" s="35" t="str">
        <f>IF(MUS.!E13=0," ",MUS.!E13)</f>
        <v xml:space="preserve"> </v>
      </c>
      <c r="F154" s="35">
        <f>IF(MUS.!F13=0," ",MUS.!F13)</f>
        <v>32</v>
      </c>
      <c r="G154" s="18"/>
    </row>
    <row r="155" spans="1:9" ht="17.100000000000001" customHeight="1">
      <c r="A155" s="271"/>
      <c r="B155" s="34" t="s">
        <v>11</v>
      </c>
      <c r="C155" s="35">
        <f>IF('A.PL. '!C13=0," ",'A.PL. '!C13)</f>
        <v>69</v>
      </c>
      <c r="D155" s="35" t="str">
        <f>IF('A.PL. '!D13=0," ",'A.PL. '!D13)</f>
        <v xml:space="preserve"> </v>
      </c>
      <c r="E155" s="35" t="str">
        <f>IF('A.PL. '!E13=0," ",'A.PL. '!E13)</f>
        <v xml:space="preserve"> </v>
      </c>
      <c r="F155" s="35">
        <f>IF('A.PL. '!F13=0," ",'A.PL. '!F13)</f>
        <v>23</v>
      </c>
      <c r="G155" s="18"/>
    </row>
    <row r="156" spans="1:9" ht="17.100000000000001" customHeight="1">
      <c r="A156" s="272" t="s">
        <v>64</v>
      </c>
      <c r="B156" s="34" t="s">
        <v>62</v>
      </c>
      <c r="C156" s="35">
        <f>IF(MAT!C13=0," ",MAT!C13)</f>
        <v>93</v>
      </c>
      <c r="D156" s="35" t="str">
        <f>IF(MAT!D13=0," ",MAT!D13)</f>
        <v xml:space="preserve"> </v>
      </c>
      <c r="E156" s="35" t="str">
        <f>IF(MAT!E13=0," ",MAT!E13)</f>
        <v xml:space="preserve"> </v>
      </c>
      <c r="F156" s="35">
        <f>IF(MAT!F13=0," ",MAT!F13)</f>
        <v>31</v>
      </c>
      <c r="G156" s="18"/>
    </row>
    <row r="157" spans="1:9" ht="17.100000000000001" customHeight="1">
      <c r="A157" s="272"/>
      <c r="B157" s="34" t="s">
        <v>101</v>
      </c>
      <c r="C157" s="35">
        <f>IF('T. TEC. GRAL'!C13=0," ",'T. TEC. GRAL'!C13)</f>
        <v>79</v>
      </c>
      <c r="D157" s="35" t="str">
        <f>IF('T. TEC. GRAL'!D13=0," ",'T. TEC. GRAL'!D13)</f>
        <v xml:space="preserve"> </v>
      </c>
      <c r="E157" s="35" t="str">
        <f>IF('T. TEC. GRAL'!E13=0," ",'T. TEC. GRAL'!E13)</f>
        <v xml:space="preserve"> </v>
      </c>
      <c r="F157" s="35">
        <f>IF('T. TEC. GRAL'!F13=0," ",'T. TEC. GRAL'!F13)</f>
        <v>26</v>
      </c>
      <c r="G157" s="18"/>
    </row>
    <row r="158" spans="1:9" ht="24" customHeight="1">
      <c r="A158" s="142" t="s">
        <v>79</v>
      </c>
      <c r="B158" s="34" t="s">
        <v>63</v>
      </c>
      <c r="C158" s="35">
        <f>IF('BIO-GEO'!C13=0," ",'BIO-GEO'!C13)</f>
        <v>83</v>
      </c>
      <c r="D158" s="35" t="str">
        <f>IF('BIO-GEO'!D13=0," ",'BIO-GEO'!D13)</f>
        <v xml:space="preserve"> </v>
      </c>
      <c r="E158" s="35" t="str">
        <f>IF('BIO-GEO'!E13=0," ",'BIO-GEO'!E13)</f>
        <v xml:space="preserve"> </v>
      </c>
      <c r="F158" s="35">
        <f>IF('BIO-GEO'!F13=0," ",'BIO-GEO'!F13)</f>
        <v>28</v>
      </c>
      <c r="G158" s="18"/>
    </row>
    <row r="159" spans="1:9" ht="17.100000000000001" customHeight="1">
      <c r="A159" s="271" t="s">
        <v>39</v>
      </c>
      <c r="B159" s="34" t="s">
        <v>54</v>
      </c>
      <c r="C159" s="35">
        <f>IF(PSI!C13=0," ",PSI!C13)</f>
        <v>81</v>
      </c>
      <c r="D159" s="35" t="str">
        <f>IF(PSI!D13=0," ",PSI!D13)</f>
        <v xml:space="preserve"> </v>
      </c>
      <c r="E159" s="35" t="str">
        <f>IF(PSI!E13=0," ",PSI!E13)</f>
        <v xml:space="preserve"> </v>
      </c>
      <c r="F159" s="35">
        <f>IF(PSI!F13=0," ",PSI!F13)</f>
        <v>27</v>
      </c>
      <c r="G159" s="18"/>
    </row>
    <row r="160" spans="1:9" ht="17.100000000000001" customHeight="1">
      <c r="A160" s="271"/>
      <c r="B160" s="34" t="s">
        <v>55</v>
      </c>
      <c r="C160" s="35">
        <f>IF('REL.'!C13=0," ",'REL.'!C13)</f>
        <v>75.666666666666657</v>
      </c>
      <c r="D160" s="35" t="str">
        <f>IF('REL.'!D13=0," ",'REL.'!D13)</f>
        <v xml:space="preserve"> </v>
      </c>
      <c r="E160" s="35" t="str">
        <f>IF('REL.'!E13=0," ",'REL.'!E13)</f>
        <v xml:space="preserve"> </v>
      </c>
      <c r="F160" s="35">
        <f>IF('REL.'!F13=0," ",'REL.'!F13)</f>
        <v>25</v>
      </c>
      <c r="G160" s="18"/>
    </row>
    <row r="161" spans="1:9" ht="15.95" customHeight="1">
      <c r="A161" s="143"/>
      <c r="B161" s="144"/>
      <c r="C161" s="38"/>
      <c r="D161" s="38"/>
      <c r="E161" s="38"/>
      <c r="F161" s="38"/>
      <c r="G161" s="18"/>
    </row>
    <row r="162" spans="1:9" ht="15.95" customHeight="1">
      <c r="A162" s="143"/>
      <c r="B162" s="144"/>
      <c r="C162" s="38"/>
      <c r="D162" s="38"/>
      <c r="E162" s="38"/>
      <c r="F162" s="38"/>
      <c r="G162" s="18"/>
    </row>
    <row r="163" spans="1:9" ht="17.25" customHeight="1">
      <c r="A163" s="18"/>
      <c r="B163" s="18"/>
      <c r="C163" s="278" t="s">
        <v>42</v>
      </c>
      <c r="D163" s="278"/>
      <c r="E163" s="278"/>
      <c r="F163" s="18"/>
      <c r="G163" s="18"/>
    </row>
    <row r="164" spans="1:9" ht="15.95" customHeight="1">
      <c r="A164" s="270" t="str">
        <f t="shared" ref="A164" si="7">$A$3</f>
        <v>U. E. ABAROA B</v>
      </c>
      <c r="B164" s="270"/>
      <c r="C164" s="18"/>
      <c r="D164" s="18"/>
      <c r="E164" s="18"/>
      <c r="F164" s="182" t="str">
        <f>NOMINA!$D$2</f>
        <v>GESTION: 2026</v>
      </c>
      <c r="G164" s="18"/>
    </row>
    <row r="165" spans="1:9" s="14" customFormat="1" ht="21.95" customHeight="1">
      <c r="A165" s="273" t="str">
        <f>NOMINA!$B$2</f>
        <v>CURSO 2A</v>
      </c>
      <c r="B165" s="274"/>
      <c r="C165" s="280" t="str">
        <f>NOMINA!B14</f>
        <v>CHAVEZ AMURRIO SEBASTIAN FABIAN</v>
      </c>
      <c r="D165" s="281"/>
      <c r="E165" s="281"/>
      <c r="F165" s="281"/>
      <c r="G165" s="49"/>
    </row>
    <row r="166" spans="1:9" ht="15.95" customHeight="1">
      <c r="A166" s="279">
        <f>NOMINA!A14</f>
        <v>9</v>
      </c>
      <c r="B166" s="41"/>
      <c r="C166" s="42" t="s">
        <v>5</v>
      </c>
      <c r="D166" s="271" t="s">
        <v>9</v>
      </c>
      <c r="E166" s="271"/>
      <c r="F166" s="179" t="s">
        <v>7</v>
      </c>
      <c r="G166" s="18"/>
    </row>
    <row r="167" spans="1:9" ht="15.95" customHeight="1">
      <c r="A167" s="279"/>
      <c r="B167" s="44"/>
      <c r="C167" s="178">
        <f>NOMINA!C14</f>
        <v>0</v>
      </c>
      <c r="D167" s="284">
        <f>NOMINA!D14</f>
        <v>0</v>
      </c>
      <c r="E167" s="284"/>
      <c r="F167" s="181">
        <f>NOMINA!F14</f>
        <v>0</v>
      </c>
      <c r="G167" s="18"/>
    </row>
    <row r="168" spans="1:9" s="16" customFormat="1" ht="15.95" customHeight="1">
      <c r="A168" s="275" t="s">
        <v>35</v>
      </c>
      <c r="B168" s="282" t="s">
        <v>37</v>
      </c>
      <c r="C168" s="30" t="s">
        <v>84</v>
      </c>
      <c r="D168" s="30" t="s">
        <v>82</v>
      </c>
      <c r="E168" s="30" t="s">
        <v>83</v>
      </c>
      <c r="F168" s="180" t="s">
        <v>38</v>
      </c>
      <c r="G168" s="31"/>
      <c r="I168" s="17"/>
    </row>
    <row r="169" spans="1:9" s="16" customFormat="1" ht="15.95" customHeight="1">
      <c r="A169" s="276"/>
      <c r="B169" s="283"/>
      <c r="C169" s="32" t="s">
        <v>33</v>
      </c>
      <c r="D169" s="32" t="s">
        <v>33</v>
      </c>
      <c r="E169" s="32" t="s">
        <v>33</v>
      </c>
      <c r="F169" s="46" t="s">
        <v>33</v>
      </c>
      <c r="G169" s="31"/>
    </row>
    <row r="170" spans="1:9" ht="17.100000000000001" customHeight="1">
      <c r="A170" s="271" t="s">
        <v>45</v>
      </c>
      <c r="B170" s="34" t="s">
        <v>36</v>
      </c>
      <c r="C170" s="35">
        <f>IF(LEN!C14=0," ",LEN!C14)</f>
        <v>44</v>
      </c>
      <c r="D170" s="35" t="str">
        <f>IF(LEN!D14=0," ",LEN!D14)</f>
        <v xml:space="preserve"> </v>
      </c>
      <c r="E170" s="35" t="str">
        <f>IF(LEN!E14=0," ",LEN!E14)</f>
        <v xml:space="preserve"> </v>
      </c>
      <c r="F170" s="35">
        <f>IF(LEN!F14=0," ",LEN!F14)</f>
        <v>15</v>
      </c>
      <c r="G170" s="18"/>
    </row>
    <row r="171" spans="1:9" ht="17.100000000000001" customHeight="1">
      <c r="A171" s="271"/>
      <c r="B171" s="34" t="s">
        <v>10</v>
      </c>
      <c r="C171" s="35">
        <f>IF(ING!C14=0," ",ING!C14)</f>
        <v>45</v>
      </c>
      <c r="D171" s="35" t="str">
        <f>IF(ING!D14=0," ",ING!D14)</f>
        <v xml:space="preserve"> </v>
      </c>
      <c r="E171" s="35" t="str">
        <f>IF(ING!E14=0," ",ING!E14)</f>
        <v xml:space="preserve"> </v>
      </c>
      <c r="F171" s="35">
        <f>IF(ING!F14=0," ",ING!F14)</f>
        <v>15</v>
      </c>
      <c r="G171" s="18"/>
    </row>
    <row r="172" spans="1:9" ht="17.100000000000001" customHeight="1">
      <c r="A172" s="271"/>
      <c r="B172" s="34" t="s">
        <v>61</v>
      </c>
      <c r="C172" s="35">
        <f>IF('C.SOC'!C14=0," ",'C.SOC'!C14)</f>
        <v>56</v>
      </c>
      <c r="D172" s="35" t="str">
        <f>IF('C.SOC'!D14=0," ",'C.SOC'!D14)</f>
        <v xml:space="preserve"> </v>
      </c>
      <c r="E172" s="35" t="str">
        <f>IF('C.SOC'!E14=0," ",'C.SOC'!E14)</f>
        <v xml:space="preserve"> </v>
      </c>
      <c r="F172" s="35">
        <f>IF('C.SOC'!F14=0," ",'C.SOC'!F14)</f>
        <v>19</v>
      </c>
      <c r="G172" s="18"/>
    </row>
    <row r="173" spans="1:9" ht="17.100000000000001" customHeight="1">
      <c r="A173" s="271"/>
      <c r="B173" s="34" t="s">
        <v>43</v>
      </c>
      <c r="C173" s="35">
        <f>IF('E. FIS.'!C14=0," ",'E. FIS.'!C14)</f>
        <v>45</v>
      </c>
      <c r="D173" s="35" t="str">
        <f>IF('E. FIS.'!D14=0," ",'E. FIS.'!D14)</f>
        <v xml:space="preserve"> </v>
      </c>
      <c r="E173" s="35" t="str">
        <f>IF('E. FIS.'!E14=0," ",'E. FIS.'!E14)</f>
        <v xml:space="preserve"> </v>
      </c>
      <c r="F173" s="35">
        <f>IF('E. FIS.'!F14=0," ",'E. FIS.'!F14)</f>
        <v>15</v>
      </c>
      <c r="G173" s="18"/>
    </row>
    <row r="174" spans="1:9" ht="17.100000000000001" customHeight="1">
      <c r="A174" s="271"/>
      <c r="B174" s="34" t="s">
        <v>44</v>
      </c>
      <c r="C174" s="35">
        <f>IF(MUS.!C14=0," ",MUS.!C14)</f>
        <v>54</v>
      </c>
      <c r="D174" s="35" t="str">
        <f>IF(MUS.!D14=0," ",MUS.!D14)</f>
        <v xml:space="preserve"> </v>
      </c>
      <c r="E174" s="35" t="str">
        <f>IF(MUS.!E14=0," ",MUS.!E14)</f>
        <v xml:space="preserve"> </v>
      </c>
      <c r="F174" s="35">
        <f>IF(MUS.!F14=0," ",MUS.!F14)</f>
        <v>18</v>
      </c>
      <c r="G174" s="18"/>
    </row>
    <row r="175" spans="1:9" ht="17.100000000000001" customHeight="1">
      <c r="A175" s="271"/>
      <c r="B175" s="34" t="s">
        <v>11</v>
      </c>
      <c r="C175" s="35">
        <f>IF('A.PL. '!C14=0," ",'A.PL. '!C14)</f>
        <v>67</v>
      </c>
      <c r="D175" s="35" t="str">
        <f>IF('A.PL. '!D14=0," ",'A.PL. '!D14)</f>
        <v xml:space="preserve"> </v>
      </c>
      <c r="E175" s="35" t="str">
        <f>IF('A.PL. '!E14=0," ",'A.PL. '!E14)</f>
        <v xml:space="preserve"> </v>
      </c>
      <c r="F175" s="35">
        <f>IF('A.PL. '!F14=0," ",'A.PL. '!F14)</f>
        <v>22</v>
      </c>
      <c r="G175" s="18"/>
    </row>
    <row r="176" spans="1:9" ht="17.100000000000001" customHeight="1">
      <c r="A176" s="272" t="s">
        <v>64</v>
      </c>
      <c r="B176" s="34" t="s">
        <v>62</v>
      </c>
      <c r="C176" s="35">
        <f>IF(MAT!C14=0," ",MAT!C14)</f>
        <v>49</v>
      </c>
      <c r="D176" s="35" t="str">
        <f>IF(MAT!D14=0," ",MAT!D14)</f>
        <v xml:space="preserve"> </v>
      </c>
      <c r="E176" s="35" t="str">
        <f>IF(MAT!E14=0," ",MAT!E14)</f>
        <v xml:space="preserve"> </v>
      </c>
      <c r="F176" s="35">
        <f>IF(MAT!F14=0," ",MAT!F14)</f>
        <v>16</v>
      </c>
      <c r="G176" s="18"/>
    </row>
    <row r="177" spans="1:9" ht="17.100000000000001" customHeight="1">
      <c r="A177" s="272"/>
      <c r="B177" s="34" t="s">
        <v>101</v>
      </c>
      <c r="C177" s="35">
        <f>IF('T. TEC. GRAL'!C14=0," ",'T. TEC. GRAL'!C14)</f>
        <v>44</v>
      </c>
      <c r="D177" s="35" t="str">
        <f>IF('T. TEC. GRAL'!D14=0," ",'T. TEC. GRAL'!D14)</f>
        <v xml:space="preserve"> </v>
      </c>
      <c r="E177" s="35" t="str">
        <f>IF('T. TEC. GRAL'!E14=0," ",'T. TEC. GRAL'!E14)</f>
        <v xml:space="preserve"> </v>
      </c>
      <c r="F177" s="35">
        <f>IF('T. TEC. GRAL'!F14=0," ",'T. TEC. GRAL'!F14)</f>
        <v>15</v>
      </c>
      <c r="G177" s="18"/>
    </row>
    <row r="178" spans="1:9" ht="24" customHeight="1">
      <c r="A178" s="142" t="s">
        <v>79</v>
      </c>
      <c r="B178" s="34" t="s">
        <v>63</v>
      </c>
      <c r="C178" s="35">
        <f>IF('BIO-GEO'!C14=0," ",'BIO-GEO'!C14)</f>
        <v>35</v>
      </c>
      <c r="D178" s="35" t="str">
        <f>IF('BIO-GEO'!D14=0," ",'BIO-GEO'!D14)</f>
        <v xml:space="preserve"> </v>
      </c>
      <c r="E178" s="35" t="str">
        <f>IF('BIO-GEO'!E14=0," ",'BIO-GEO'!E14)</f>
        <v xml:space="preserve"> </v>
      </c>
      <c r="F178" s="35">
        <f>IF('BIO-GEO'!F14=0," ",'BIO-GEO'!F14)</f>
        <v>12</v>
      </c>
      <c r="G178" s="18"/>
    </row>
    <row r="179" spans="1:9" ht="17.100000000000001" customHeight="1">
      <c r="A179" s="271" t="s">
        <v>39</v>
      </c>
      <c r="B179" s="34" t="s">
        <v>54</v>
      </c>
      <c r="C179" s="35">
        <f>IF(PSI!C14=0," ",PSI!C14)</f>
        <v>45</v>
      </c>
      <c r="D179" s="35" t="str">
        <f>IF(PSI!D14=0," ",PSI!D14)</f>
        <v xml:space="preserve"> </v>
      </c>
      <c r="E179" s="35" t="str">
        <f>IF(PSI!E14=0," ",PSI!E14)</f>
        <v xml:space="preserve"> </v>
      </c>
      <c r="F179" s="35">
        <f>IF(PSI!F14=0," ",PSI!F14)</f>
        <v>15</v>
      </c>
      <c r="G179" s="18"/>
    </row>
    <row r="180" spans="1:9" ht="17.100000000000001" customHeight="1">
      <c r="A180" s="271"/>
      <c r="B180" s="34" t="s">
        <v>55</v>
      </c>
      <c r="C180" s="35">
        <f>IF('REL.'!C14=0," ",'REL.'!C14)</f>
        <v>52.25</v>
      </c>
      <c r="D180" s="35" t="str">
        <f>IF('REL.'!D14=0," ",'REL.'!D14)</f>
        <v xml:space="preserve"> </v>
      </c>
      <c r="E180" s="35" t="str">
        <f>IF('REL.'!E14=0," ",'REL.'!E14)</f>
        <v xml:space="preserve"> </v>
      </c>
      <c r="F180" s="35">
        <f>IF('REL.'!F14=0," ",'REL.'!F14)</f>
        <v>17</v>
      </c>
      <c r="G180" s="18"/>
    </row>
    <row r="181" spans="1:9" ht="15.95" customHeight="1">
      <c r="A181" s="143"/>
      <c r="B181" s="144"/>
      <c r="C181" s="38"/>
      <c r="D181" s="38"/>
      <c r="E181" s="38"/>
      <c r="F181" s="38"/>
      <c r="G181" s="18"/>
    </row>
    <row r="182" spans="1:9" ht="19.5" customHeight="1">
      <c r="A182" s="143"/>
      <c r="B182" s="144"/>
      <c r="C182" s="38"/>
      <c r="D182" s="38"/>
      <c r="E182" s="38"/>
      <c r="F182" s="38"/>
      <c r="G182" s="18"/>
    </row>
    <row r="183" spans="1:9" ht="15.95" customHeight="1">
      <c r="A183" s="143"/>
      <c r="B183" s="144"/>
      <c r="C183" s="38"/>
      <c r="D183" s="38"/>
      <c r="E183" s="38"/>
      <c r="F183" s="38"/>
      <c r="G183" s="18"/>
    </row>
    <row r="184" spans="1:9" ht="17.25" customHeight="1">
      <c r="A184" s="18"/>
      <c r="B184" s="18"/>
      <c r="C184" s="278" t="s">
        <v>42</v>
      </c>
      <c r="D184" s="278"/>
      <c r="E184" s="278"/>
      <c r="F184" s="18"/>
      <c r="G184" s="18"/>
    </row>
    <row r="185" spans="1:9" ht="15.95" customHeight="1">
      <c r="A185" s="270" t="str">
        <f t="shared" ref="A185" si="8">$A$3</f>
        <v>U. E. ABAROA B</v>
      </c>
      <c r="B185" s="270"/>
      <c r="C185" s="18"/>
      <c r="D185" s="18"/>
      <c r="E185" s="18"/>
      <c r="F185" s="182" t="str">
        <f>NOMINA!$D$2</f>
        <v>GESTION: 2026</v>
      </c>
      <c r="G185" s="18"/>
    </row>
    <row r="186" spans="1:9" s="14" customFormat="1" ht="21.95" customHeight="1">
      <c r="A186" s="273" t="str">
        <f>NOMINA!$B$2</f>
        <v>CURSO 2A</v>
      </c>
      <c r="B186" s="274"/>
      <c r="C186" s="280" t="str">
        <f>NOMINA!B15</f>
        <v>CHOQUE ARISPE YURIANA LUCIA</v>
      </c>
      <c r="D186" s="281"/>
      <c r="E186" s="281"/>
      <c r="F186" s="281"/>
      <c r="G186" s="49"/>
    </row>
    <row r="187" spans="1:9" ht="15.95" customHeight="1">
      <c r="A187" s="279">
        <f>NOMINA!A15</f>
        <v>10</v>
      </c>
      <c r="B187" s="41"/>
      <c r="C187" s="42" t="s">
        <v>5</v>
      </c>
      <c r="D187" s="271" t="s">
        <v>9</v>
      </c>
      <c r="E187" s="271"/>
      <c r="F187" s="179" t="s">
        <v>7</v>
      </c>
      <c r="G187" s="18"/>
    </row>
    <row r="188" spans="1:9" ht="15.95" customHeight="1">
      <c r="A188" s="279"/>
      <c r="B188" s="44"/>
      <c r="C188" s="178">
        <f>NOMINA!C15</f>
        <v>0</v>
      </c>
      <c r="D188" s="284">
        <f>NOMINA!D15</f>
        <v>0</v>
      </c>
      <c r="E188" s="284"/>
      <c r="F188" s="181">
        <f>NOMINA!F15</f>
        <v>0</v>
      </c>
      <c r="G188" s="18"/>
    </row>
    <row r="189" spans="1:9" s="16" customFormat="1" ht="15.95" customHeight="1">
      <c r="A189" s="275" t="s">
        <v>35</v>
      </c>
      <c r="B189" s="282" t="s">
        <v>37</v>
      </c>
      <c r="C189" s="30" t="s">
        <v>84</v>
      </c>
      <c r="D189" s="30" t="s">
        <v>82</v>
      </c>
      <c r="E189" s="30" t="s">
        <v>83</v>
      </c>
      <c r="F189" s="180" t="s">
        <v>38</v>
      </c>
      <c r="G189" s="31"/>
      <c r="I189" s="17"/>
    </row>
    <row r="190" spans="1:9" s="16" customFormat="1" ht="15.95" customHeight="1">
      <c r="A190" s="276"/>
      <c r="B190" s="283"/>
      <c r="C190" s="32" t="s">
        <v>33</v>
      </c>
      <c r="D190" s="32" t="s">
        <v>33</v>
      </c>
      <c r="E190" s="32" t="s">
        <v>33</v>
      </c>
      <c r="F190" s="46" t="s">
        <v>33</v>
      </c>
      <c r="G190" s="31"/>
    </row>
    <row r="191" spans="1:9" ht="17.100000000000001" customHeight="1">
      <c r="A191" s="271" t="s">
        <v>45</v>
      </c>
      <c r="B191" s="34" t="s">
        <v>36</v>
      </c>
      <c r="C191" s="35">
        <f>IF(LEN!C15=0," ",LEN!C15)</f>
        <v>51</v>
      </c>
      <c r="D191" s="35" t="str">
        <f>IF(LEN!D15=0," ",LEN!D15)</f>
        <v xml:space="preserve"> </v>
      </c>
      <c r="E191" s="35" t="str">
        <f>IF(LEN!E15=0," ",LEN!E15)</f>
        <v xml:space="preserve"> </v>
      </c>
      <c r="F191" s="35">
        <f>IF(LEN!F15=0," ",LEN!F15)</f>
        <v>17</v>
      </c>
      <c r="G191" s="18"/>
    </row>
    <row r="192" spans="1:9" ht="17.100000000000001" customHeight="1">
      <c r="A192" s="271"/>
      <c r="B192" s="34" t="s">
        <v>10</v>
      </c>
      <c r="C192" s="35">
        <f>IF(ING!C15=0," ",ING!C15)</f>
        <v>58</v>
      </c>
      <c r="D192" s="35" t="str">
        <f>IF(ING!D15=0," ",ING!D15)</f>
        <v xml:space="preserve"> </v>
      </c>
      <c r="E192" s="35" t="str">
        <f>IF(ING!E15=0," ",ING!E15)</f>
        <v xml:space="preserve"> </v>
      </c>
      <c r="F192" s="35">
        <f>IF(ING!F15=0," ",ING!F15)</f>
        <v>19</v>
      </c>
      <c r="G192" s="18"/>
    </row>
    <row r="193" spans="1:9" ht="17.100000000000001" customHeight="1">
      <c r="A193" s="271"/>
      <c r="B193" s="34" t="s">
        <v>61</v>
      </c>
      <c r="C193" s="35">
        <f>IF('C.SOC'!C15=0," ",'C.SOC'!C15)</f>
        <v>44</v>
      </c>
      <c r="D193" s="35" t="str">
        <f>IF('C.SOC'!D15=0," ",'C.SOC'!D15)</f>
        <v xml:space="preserve"> </v>
      </c>
      <c r="E193" s="35" t="str">
        <f>IF('C.SOC'!E15=0," ",'C.SOC'!E15)</f>
        <v xml:space="preserve"> </v>
      </c>
      <c r="F193" s="35">
        <f>IF('C.SOC'!F15=0," ",'C.SOC'!F15)</f>
        <v>15</v>
      </c>
      <c r="G193" s="18"/>
    </row>
    <row r="194" spans="1:9" ht="17.100000000000001" customHeight="1">
      <c r="A194" s="271"/>
      <c r="B194" s="34" t="s">
        <v>43</v>
      </c>
      <c r="C194" s="35">
        <f>IF('E. FIS.'!C15=0," ",'E. FIS.'!C15)</f>
        <v>55</v>
      </c>
      <c r="D194" s="35" t="str">
        <f>IF('E. FIS.'!D15=0," ",'E. FIS.'!D15)</f>
        <v xml:space="preserve"> </v>
      </c>
      <c r="E194" s="35" t="str">
        <f>IF('E. FIS.'!E15=0," ",'E. FIS.'!E15)</f>
        <v xml:space="preserve"> </v>
      </c>
      <c r="F194" s="35">
        <f>IF('E. FIS.'!F15=0," ",'E. FIS.'!F15)</f>
        <v>18</v>
      </c>
      <c r="G194" s="18"/>
    </row>
    <row r="195" spans="1:9" ht="17.100000000000001" customHeight="1">
      <c r="A195" s="271"/>
      <c r="B195" s="34" t="s">
        <v>44</v>
      </c>
      <c r="C195" s="35">
        <f>IF(MUS.!C15=0," ",MUS.!C15)</f>
        <v>58</v>
      </c>
      <c r="D195" s="35" t="str">
        <f>IF(MUS.!D15=0," ",MUS.!D15)</f>
        <v xml:space="preserve"> </v>
      </c>
      <c r="E195" s="35" t="str">
        <f>IF(MUS.!E15=0," ",MUS.!E15)</f>
        <v xml:space="preserve"> </v>
      </c>
      <c r="F195" s="35">
        <f>IF(MUS.!F15=0," ",MUS.!F15)</f>
        <v>19</v>
      </c>
      <c r="G195" s="18"/>
    </row>
    <row r="196" spans="1:9" ht="17.100000000000001" customHeight="1">
      <c r="A196" s="271"/>
      <c r="B196" s="34" t="s">
        <v>11</v>
      </c>
      <c r="C196" s="35">
        <f>IF('A.PL. '!C15=0," ",'A.PL. '!C15)</f>
        <v>66</v>
      </c>
      <c r="D196" s="35" t="str">
        <f>IF('A.PL. '!D15=0," ",'A.PL. '!D15)</f>
        <v xml:space="preserve"> </v>
      </c>
      <c r="E196" s="35" t="str">
        <f>IF('A.PL. '!E15=0," ",'A.PL. '!E15)</f>
        <v xml:space="preserve"> </v>
      </c>
      <c r="F196" s="35">
        <f>IF('A.PL. '!F15=0," ",'A.PL. '!F15)</f>
        <v>22</v>
      </c>
      <c r="G196" s="18"/>
    </row>
    <row r="197" spans="1:9" ht="17.100000000000001" customHeight="1">
      <c r="A197" s="272" t="s">
        <v>64</v>
      </c>
      <c r="B197" s="34" t="s">
        <v>62</v>
      </c>
      <c r="C197" s="35">
        <f>IF(MAT!C15=0," ",MAT!C15)</f>
        <v>52</v>
      </c>
      <c r="D197" s="35" t="str">
        <f>IF(MAT!D15=0," ",MAT!D15)</f>
        <v xml:space="preserve"> </v>
      </c>
      <c r="E197" s="35" t="str">
        <f>IF(MAT!E15=0," ",MAT!E15)</f>
        <v xml:space="preserve"> </v>
      </c>
      <c r="F197" s="35">
        <f>IF(MAT!F15=0," ",MAT!F15)</f>
        <v>17</v>
      </c>
      <c r="G197" s="18"/>
    </row>
    <row r="198" spans="1:9" ht="17.100000000000001" customHeight="1">
      <c r="A198" s="272"/>
      <c r="B198" s="34" t="s">
        <v>101</v>
      </c>
      <c r="C198" s="35">
        <f>IF('T. TEC. GRAL'!C15=0," ",'T. TEC. GRAL'!C15)</f>
        <v>67</v>
      </c>
      <c r="D198" s="35" t="str">
        <f>IF('T. TEC. GRAL'!D15=0," ",'T. TEC. GRAL'!D15)</f>
        <v xml:space="preserve"> </v>
      </c>
      <c r="E198" s="35" t="str">
        <f>IF('T. TEC. GRAL'!E15=0," ",'T. TEC. GRAL'!E15)</f>
        <v xml:space="preserve"> </v>
      </c>
      <c r="F198" s="35">
        <f>IF('T. TEC. GRAL'!F15=0," ",'T. TEC. GRAL'!F15)</f>
        <v>22</v>
      </c>
      <c r="G198" s="18"/>
    </row>
    <row r="199" spans="1:9" ht="24" customHeight="1">
      <c r="A199" s="142" t="s">
        <v>79</v>
      </c>
      <c r="B199" s="34" t="s">
        <v>63</v>
      </c>
      <c r="C199" s="35">
        <f>IF('BIO-GEO'!C15=0," ",'BIO-GEO'!C15)</f>
        <v>67</v>
      </c>
      <c r="D199" s="35" t="str">
        <f>IF('BIO-GEO'!D15=0," ",'BIO-GEO'!D15)</f>
        <v xml:space="preserve"> </v>
      </c>
      <c r="E199" s="35" t="str">
        <f>IF('BIO-GEO'!E15=0," ",'BIO-GEO'!E15)</f>
        <v xml:space="preserve"> </v>
      </c>
      <c r="F199" s="35">
        <f>IF('BIO-GEO'!F15=0," ",'BIO-GEO'!F15)</f>
        <v>22</v>
      </c>
      <c r="G199" s="18"/>
    </row>
    <row r="200" spans="1:9" ht="17.100000000000001" customHeight="1">
      <c r="A200" s="271" t="s">
        <v>39</v>
      </c>
      <c r="B200" s="34" t="s">
        <v>54</v>
      </c>
      <c r="C200" s="35">
        <f>IF(PSI!C15=0," ",PSI!C15)</f>
        <v>67</v>
      </c>
      <c r="D200" s="35" t="str">
        <f>IF(PSI!D15=0," ",PSI!D15)</f>
        <v xml:space="preserve"> </v>
      </c>
      <c r="E200" s="35" t="str">
        <f>IF(PSI!E15=0," ",PSI!E15)</f>
        <v xml:space="preserve"> </v>
      </c>
      <c r="F200" s="35">
        <f>IF(PSI!F15=0," ",PSI!F15)</f>
        <v>22</v>
      </c>
      <c r="G200" s="18"/>
    </row>
    <row r="201" spans="1:9" ht="17.100000000000001" customHeight="1">
      <c r="A201" s="271"/>
      <c r="B201" s="34" t="s">
        <v>55</v>
      </c>
      <c r="C201" s="35">
        <f>IF('REL.'!C15=0," ",'REL.'!C15)</f>
        <v>63.75</v>
      </c>
      <c r="D201" s="35" t="str">
        <f>IF('REL.'!D15=0," ",'REL.'!D15)</f>
        <v xml:space="preserve"> </v>
      </c>
      <c r="E201" s="35" t="str">
        <f>IF('REL.'!E15=0," ",'REL.'!E15)</f>
        <v xml:space="preserve"> </v>
      </c>
      <c r="F201" s="35">
        <f>IF('REL.'!F15=0," ",'REL.'!F15)</f>
        <v>21</v>
      </c>
      <c r="G201" s="18"/>
    </row>
    <row r="202" spans="1:9" ht="15.95" customHeight="1">
      <c r="A202" s="143"/>
      <c r="B202" s="144"/>
      <c r="C202" s="38"/>
      <c r="D202" s="38"/>
      <c r="E202" s="38"/>
      <c r="F202" s="38"/>
      <c r="G202" s="18"/>
    </row>
    <row r="203" spans="1:9" ht="17.25" customHeight="1">
      <c r="A203" s="18"/>
      <c r="B203" s="18"/>
      <c r="C203" s="278" t="s">
        <v>42</v>
      </c>
      <c r="D203" s="278"/>
      <c r="E203" s="278"/>
      <c r="F203" s="18"/>
      <c r="G203" s="18"/>
    </row>
    <row r="204" spans="1:9" ht="15.95" customHeight="1">
      <c r="A204" s="270" t="str">
        <f t="shared" ref="A204" si="9">$A$3</f>
        <v>U. E. ABAROA B</v>
      </c>
      <c r="B204" s="270"/>
      <c r="C204" s="18"/>
      <c r="D204" s="18"/>
      <c r="E204" s="18"/>
      <c r="F204" s="182" t="str">
        <f>NOMINA!$D$2</f>
        <v>GESTION: 2026</v>
      </c>
      <c r="G204" s="18"/>
    </row>
    <row r="205" spans="1:9" s="14" customFormat="1" ht="21.95" customHeight="1">
      <c r="A205" s="273" t="str">
        <f>NOMINA!$B$2</f>
        <v>CURSO 2A</v>
      </c>
      <c r="B205" s="274"/>
      <c r="C205" s="280" t="str">
        <f>NOMINA!B16</f>
        <v>CHOQUE PERALTA JHOEL ELIAZAR</v>
      </c>
      <c r="D205" s="281"/>
      <c r="E205" s="281"/>
      <c r="F205" s="281"/>
      <c r="G205" s="49"/>
    </row>
    <row r="206" spans="1:9" ht="15.95" customHeight="1">
      <c r="A206" s="279">
        <f>NOMINA!A16</f>
        <v>11</v>
      </c>
      <c r="B206" s="50"/>
      <c r="C206" s="42" t="s">
        <v>5</v>
      </c>
      <c r="D206" s="271" t="s">
        <v>9</v>
      </c>
      <c r="E206" s="271"/>
      <c r="F206" s="179" t="s">
        <v>7</v>
      </c>
      <c r="G206" s="18"/>
    </row>
    <row r="207" spans="1:9" ht="15.95" customHeight="1">
      <c r="A207" s="279"/>
      <c r="B207" s="51"/>
      <c r="C207" s="178">
        <f>NOMINA!C16</f>
        <v>0</v>
      </c>
      <c r="D207" s="284">
        <f>NOMINA!D16</f>
        <v>0</v>
      </c>
      <c r="E207" s="284"/>
      <c r="F207" s="181">
        <f>NOMINA!F16</f>
        <v>0</v>
      </c>
      <c r="G207" s="18"/>
    </row>
    <row r="208" spans="1:9" s="16" customFormat="1" ht="15.95" customHeight="1">
      <c r="A208" s="275" t="s">
        <v>35</v>
      </c>
      <c r="B208" s="282" t="s">
        <v>37</v>
      </c>
      <c r="C208" s="30" t="s">
        <v>84</v>
      </c>
      <c r="D208" s="30" t="s">
        <v>82</v>
      </c>
      <c r="E208" s="30" t="s">
        <v>83</v>
      </c>
      <c r="F208" s="180" t="s">
        <v>38</v>
      </c>
      <c r="G208" s="31"/>
      <c r="I208" s="17"/>
    </row>
    <row r="209" spans="1:7" s="16" customFormat="1" ht="15.95" customHeight="1">
      <c r="A209" s="276"/>
      <c r="B209" s="283"/>
      <c r="C209" s="32" t="s">
        <v>33</v>
      </c>
      <c r="D209" s="32" t="s">
        <v>33</v>
      </c>
      <c r="E209" s="32" t="s">
        <v>33</v>
      </c>
      <c r="F209" s="46" t="s">
        <v>33</v>
      </c>
      <c r="G209" s="31"/>
    </row>
    <row r="210" spans="1:7" ht="17.100000000000001" customHeight="1">
      <c r="A210" s="271" t="s">
        <v>45</v>
      </c>
      <c r="B210" s="34" t="s">
        <v>36</v>
      </c>
      <c r="C210" s="35">
        <f>IF(LEN!C16=0," ",LEN!C16)</f>
        <v>85</v>
      </c>
      <c r="D210" s="35" t="str">
        <f>IF(LEN!D16=0," ",LEN!D16)</f>
        <v xml:space="preserve"> </v>
      </c>
      <c r="E210" s="35" t="str">
        <f>IF(LEN!E16=0," ",LEN!E16)</f>
        <v xml:space="preserve"> </v>
      </c>
      <c r="F210" s="35">
        <f>IF(LEN!F16=0," ",LEN!F16)</f>
        <v>28</v>
      </c>
      <c r="G210" s="18"/>
    </row>
    <row r="211" spans="1:7" ht="17.100000000000001" customHeight="1">
      <c r="A211" s="271"/>
      <c r="B211" s="34" t="s">
        <v>10</v>
      </c>
      <c r="C211" s="35">
        <f>IF(ING!C16=0," ",ING!C16)</f>
        <v>90</v>
      </c>
      <c r="D211" s="35" t="str">
        <f>IF(ING!D16=0," ",ING!D16)</f>
        <v xml:space="preserve"> </v>
      </c>
      <c r="E211" s="35" t="str">
        <f>IF(ING!E16=0," ",ING!E16)</f>
        <v xml:space="preserve"> </v>
      </c>
      <c r="F211" s="35">
        <f>IF(ING!F16=0," ",ING!F16)</f>
        <v>30</v>
      </c>
      <c r="G211" s="18"/>
    </row>
    <row r="212" spans="1:7" ht="17.100000000000001" customHeight="1">
      <c r="A212" s="271"/>
      <c r="B212" s="34" t="s">
        <v>61</v>
      </c>
      <c r="C212" s="35">
        <f>IF('C.SOC'!C16=0," ",'C.SOC'!C16)</f>
        <v>82</v>
      </c>
      <c r="D212" s="35" t="str">
        <f>IF('C.SOC'!D16=0," ",'C.SOC'!D16)</f>
        <v xml:space="preserve"> </v>
      </c>
      <c r="E212" s="35" t="str">
        <f>IF('C.SOC'!E16=0," ",'C.SOC'!E16)</f>
        <v xml:space="preserve"> </v>
      </c>
      <c r="F212" s="35">
        <f>IF('C.SOC'!F16=0," ",'C.SOC'!F16)</f>
        <v>27</v>
      </c>
      <c r="G212" s="18"/>
    </row>
    <row r="213" spans="1:7" ht="17.100000000000001" customHeight="1">
      <c r="A213" s="271"/>
      <c r="B213" s="34" t="s">
        <v>43</v>
      </c>
      <c r="C213" s="35">
        <f>IF('E. FIS.'!C16=0," ",'E. FIS.'!C16)</f>
        <v>74</v>
      </c>
      <c r="D213" s="35" t="str">
        <f>IF('E. FIS.'!D16=0," ",'E. FIS.'!D16)</f>
        <v xml:space="preserve"> </v>
      </c>
      <c r="E213" s="35" t="str">
        <f>IF('E. FIS.'!E16=0," ",'E. FIS.'!E16)</f>
        <v xml:space="preserve"> </v>
      </c>
      <c r="F213" s="35">
        <f>IF('E. FIS.'!F16=0," ",'E. FIS.'!F16)</f>
        <v>25</v>
      </c>
      <c r="G213" s="18"/>
    </row>
    <row r="214" spans="1:7" ht="17.100000000000001" customHeight="1">
      <c r="A214" s="271"/>
      <c r="B214" s="34" t="s">
        <v>44</v>
      </c>
      <c r="C214" s="35">
        <f>IF(MUS.!C16=0," ",MUS.!C16)</f>
        <v>94</v>
      </c>
      <c r="D214" s="35" t="str">
        <f>IF(MUS.!D16=0," ",MUS.!D16)</f>
        <v xml:space="preserve"> </v>
      </c>
      <c r="E214" s="35" t="str">
        <f>IF(MUS.!E16=0," ",MUS.!E16)</f>
        <v xml:space="preserve"> </v>
      </c>
      <c r="F214" s="35">
        <f>IF(MUS.!F16=0," ",MUS.!F16)</f>
        <v>31</v>
      </c>
      <c r="G214" s="18"/>
    </row>
    <row r="215" spans="1:7" ht="17.100000000000001" customHeight="1">
      <c r="A215" s="271"/>
      <c r="B215" s="34" t="s">
        <v>11</v>
      </c>
      <c r="C215" s="35">
        <f>IF('A.PL. '!C16=0," ",'A.PL. '!C16)</f>
        <v>73</v>
      </c>
      <c r="D215" s="35" t="str">
        <f>IF('A.PL. '!D16=0," ",'A.PL. '!D16)</f>
        <v xml:space="preserve"> </v>
      </c>
      <c r="E215" s="35" t="str">
        <f>IF('A.PL. '!E16=0," ",'A.PL. '!E16)</f>
        <v xml:space="preserve"> </v>
      </c>
      <c r="F215" s="35">
        <f>IF('A.PL. '!F16=0," ",'A.PL. '!F16)</f>
        <v>24</v>
      </c>
      <c r="G215" s="18"/>
    </row>
    <row r="216" spans="1:7" ht="17.100000000000001" customHeight="1">
      <c r="A216" s="272" t="s">
        <v>64</v>
      </c>
      <c r="B216" s="34" t="s">
        <v>62</v>
      </c>
      <c r="C216" s="35">
        <f>IF(MAT!C16=0," ",MAT!C16)</f>
        <v>83</v>
      </c>
      <c r="D216" s="35" t="str">
        <f>IF(MAT!D16=0," ",MAT!D16)</f>
        <v xml:space="preserve"> </v>
      </c>
      <c r="E216" s="35" t="str">
        <f>IF(MAT!E16=0," ",MAT!E16)</f>
        <v xml:space="preserve"> </v>
      </c>
      <c r="F216" s="35">
        <f>IF(MAT!F16=0," ",MAT!F16)</f>
        <v>28</v>
      </c>
      <c r="G216" s="18"/>
    </row>
    <row r="217" spans="1:7" ht="17.100000000000001" customHeight="1">
      <c r="A217" s="272"/>
      <c r="B217" s="34" t="s">
        <v>101</v>
      </c>
      <c r="C217" s="35">
        <f>IF('T. TEC. GRAL'!C16=0," ",'T. TEC. GRAL'!C16)</f>
        <v>65</v>
      </c>
      <c r="D217" s="35" t="str">
        <f>IF('T. TEC. GRAL'!D16=0," ",'T. TEC. GRAL'!D16)</f>
        <v xml:space="preserve"> </v>
      </c>
      <c r="E217" s="35" t="str">
        <f>IF('T. TEC. GRAL'!E16=0," ",'T. TEC. GRAL'!E16)</f>
        <v xml:space="preserve"> </v>
      </c>
      <c r="F217" s="35">
        <f>IF('T. TEC. GRAL'!F16=0," ",'T. TEC. GRAL'!F16)</f>
        <v>22</v>
      </c>
      <c r="G217" s="18"/>
    </row>
    <row r="218" spans="1:7" ht="24" customHeight="1">
      <c r="A218" s="142" t="s">
        <v>79</v>
      </c>
      <c r="B218" s="34" t="s">
        <v>63</v>
      </c>
      <c r="C218" s="35">
        <f>IF('BIO-GEO'!C16=0," ",'BIO-GEO'!C16)</f>
        <v>82</v>
      </c>
      <c r="D218" s="35" t="str">
        <f>IF('BIO-GEO'!D16=0," ",'BIO-GEO'!D16)</f>
        <v xml:space="preserve"> </v>
      </c>
      <c r="E218" s="35" t="str">
        <f>IF('BIO-GEO'!E16=0," ",'BIO-GEO'!E16)</f>
        <v xml:space="preserve"> </v>
      </c>
      <c r="F218" s="35">
        <f>IF('BIO-GEO'!F16=0," ",'BIO-GEO'!F16)</f>
        <v>27</v>
      </c>
      <c r="G218" s="18"/>
    </row>
    <row r="219" spans="1:7" ht="17.100000000000001" customHeight="1">
      <c r="A219" s="271" t="s">
        <v>39</v>
      </c>
      <c r="B219" s="34" t="s">
        <v>54</v>
      </c>
      <c r="C219" s="35">
        <f>IF(PSI!C16=0," ",PSI!C16)</f>
        <v>83</v>
      </c>
      <c r="D219" s="35" t="str">
        <f>IF(PSI!D16=0," ",PSI!D16)</f>
        <v xml:space="preserve"> </v>
      </c>
      <c r="E219" s="35" t="str">
        <f>IF(PSI!E16=0," ",PSI!E16)</f>
        <v xml:space="preserve"> </v>
      </c>
      <c r="F219" s="35">
        <f>IF(PSI!F16=0," ",PSI!F16)</f>
        <v>28</v>
      </c>
      <c r="G219" s="18"/>
    </row>
    <row r="220" spans="1:7" ht="17.100000000000001" customHeight="1">
      <c r="A220" s="271"/>
      <c r="B220" s="34" t="s">
        <v>55</v>
      </c>
      <c r="C220" s="35">
        <f>IF('REL.'!C16=0," ",'REL.'!C16)</f>
        <v>68.833333333333329</v>
      </c>
      <c r="D220" s="35" t="str">
        <f>IF('REL.'!D16=0," ",'REL.'!D16)</f>
        <v xml:space="preserve"> </v>
      </c>
      <c r="E220" s="35" t="str">
        <f>IF('REL.'!E16=0," ",'REL.'!E16)</f>
        <v xml:space="preserve"> </v>
      </c>
      <c r="F220" s="35">
        <f>IF('REL.'!F16=0," ",'REL.'!F16)</f>
        <v>23</v>
      </c>
      <c r="G220" s="18"/>
    </row>
    <row r="221" spans="1:7" ht="15.95" customHeight="1">
      <c r="A221" s="143"/>
      <c r="B221" s="144"/>
      <c r="C221" s="38"/>
      <c r="D221" s="38"/>
      <c r="E221" s="38"/>
      <c r="F221" s="38"/>
      <c r="G221" s="18"/>
    </row>
    <row r="222" spans="1:7" ht="15.95" customHeight="1">
      <c r="A222" s="143"/>
      <c r="B222" s="144"/>
      <c r="C222" s="38"/>
      <c r="D222" s="38"/>
      <c r="E222" s="38"/>
      <c r="F222" s="38"/>
      <c r="G222" s="18"/>
    </row>
    <row r="223" spans="1:7" ht="18.75" customHeight="1">
      <c r="A223" s="143"/>
      <c r="B223" s="144"/>
      <c r="C223" s="38"/>
      <c r="D223" s="38"/>
      <c r="E223" s="38"/>
      <c r="F223" s="38"/>
      <c r="G223" s="18"/>
    </row>
    <row r="224" spans="1:7" ht="17.25" customHeight="1">
      <c r="A224" s="18"/>
      <c r="B224" s="18"/>
      <c r="C224" s="278" t="s">
        <v>42</v>
      </c>
      <c r="D224" s="278"/>
      <c r="E224" s="278"/>
      <c r="F224" s="18"/>
      <c r="G224" s="18"/>
    </row>
    <row r="225" spans="1:9" ht="15.95" customHeight="1">
      <c r="A225" s="270" t="str">
        <f t="shared" ref="A225" si="10">$A$3</f>
        <v>U. E. ABAROA B</v>
      </c>
      <c r="B225" s="270"/>
      <c r="C225" s="18"/>
      <c r="D225" s="18"/>
      <c r="E225" s="18"/>
      <c r="F225" s="182" t="str">
        <f>NOMINA!$D$2</f>
        <v>GESTION: 2026</v>
      </c>
      <c r="G225" s="18"/>
    </row>
    <row r="226" spans="1:9" s="14" customFormat="1" ht="21.95" customHeight="1">
      <c r="A226" s="287" t="str">
        <f>NOMINA!$B$2</f>
        <v>CURSO 2A</v>
      </c>
      <c r="B226" s="288"/>
      <c r="C226" s="286" t="str">
        <f>NOMINA!B17</f>
        <v>COPA RIVERO MARCIA MARCELA</v>
      </c>
      <c r="D226" s="281"/>
      <c r="E226" s="281"/>
      <c r="F226" s="281"/>
      <c r="G226" s="49"/>
    </row>
    <row r="227" spans="1:9" ht="15.95" customHeight="1">
      <c r="A227" s="279">
        <f>NOMINA!A17</f>
        <v>12</v>
      </c>
      <c r="B227" s="50"/>
      <c r="C227" s="42" t="s">
        <v>5</v>
      </c>
      <c r="D227" s="271" t="s">
        <v>9</v>
      </c>
      <c r="E227" s="271"/>
      <c r="F227" s="179" t="s">
        <v>7</v>
      </c>
      <c r="G227" s="18"/>
    </row>
    <row r="228" spans="1:9" ht="15.95" customHeight="1">
      <c r="A228" s="279"/>
      <c r="B228" s="51"/>
      <c r="C228" s="178">
        <f>NOMINA!C17</f>
        <v>0</v>
      </c>
      <c r="D228" s="284">
        <f>NOMINA!D17</f>
        <v>0</v>
      </c>
      <c r="E228" s="284"/>
      <c r="F228" s="181">
        <f>NOMINA!F17</f>
        <v>0</v>
      </c>
      <c r="G228" s="18"/>
    </row>
    <row r="229" spans="1:9" s="16" customFormat="1" ht="15.95" customHeight="1">
      <c r="A229" s="275" t="s">
        <v>35</v>
      </c>
      <c r="B229" s="282" t="s">
        <v>37</v>
      </c>
      <c r="C229" s="30" t="s">
        <v>84</v>
      </c>
      <c r="D229" s="30" t="s">
        <v>82</v>
      </c>
      <c r="E229" s="30" t="s">
        <v>83</v>
      </c>
      <c r="F229" s="180" t="s">
        <v>38</v>
      </c>
      <c r="G229" s="31"/>
      <c r="I229" s="17"/>
    </row>
    <row r="230" spans="1:9" s="16" customFormat="1" ht="15.95" customHeight="1">
      <c r="A230" s="276"/>
      <c r="B230" s="283"/>
      <c r="C230" s="32" t="s">
        <v>33</v>
      </c>
      <c r="D230" s="32" t="s">
        <v>33</v>
      </c>
      <c r="E230" s="32" t="s">
        <v>33</v>
      </c>
      <c r="F230" s="46" t="s">
        <v>33</v>
      </c>
      <c r="G230" s="31"/>
    </row>
    <row r="231" spans="1:9" ht="17.100000000000001" customHeight="1">
      <c r="A231" s="271" t="s">
        <v>45</v>
      </c>
      <c r="B231" s="34" t="s">
        <v>36</v>
      </c>
      <c r="C231" s="35">
        <f>IF(LEN!C17=0," ",LEN!C17)</f>
        <v>43</v>
      </c>
      <c r="D231" s="35" t="str">
        <f>IF(LEN!D17=0," ",LEN!D17)</f>
        <v xml:space="preserve"> </v>
      </c>
      <c r="E231" s="35" t="str">
        <f>IF(LEN!E17=0," ",LEN!E17)</f>
        <v xml:space="preserve"> </v>
      </c>
      <c r="F231" s="35">
        <f>IF(LEN!F17=0," ",LEN!F17)</f>
        <v>14</v>
      </c>
      <c r="G231" s="18"/>
    </row>
    <row r="232" spans="1:9" ht="17.100000000000001" customHeight="1">
      <c r="A232" s="271"/>
      <c r="B232" s="34" t="s">
        <v>10</v>
      </c>
      <c r="C232" s="35">
        <f>IF(ING!C17=0," ",ING!C17)</f>
        <v>67</v>
      </c>
      <c r="D232" s="35" t="str">
        <f>IF(ING!D17=0," ",ING!D17)</f>
        <v xml:space="preserve"> </v>
      </c>
      <c r="E232" s="35" t="str">
        <f>IF(ING!E17=0," ",ING!E17)</f>
        <v xml:space="preserve"> </v>
      </c>
      <c r="F232" s="35">
        <f>IF(ING!F17=0," ",ING!F17)</f>
        <v>22</v>
      </c>
      <c r="G232" s="18"/>
    </row>
    <row r="233" spans="1:9" ht="17.100000000000001" customHeight="1">
      <c r="A233" s="271"/>
      <c r="B233" s="34" t="s">
        <v>61</v>
      </c>
      <c r="C233" s="35">
        <f>IF('C.SOC'!C17=0," ",'C.SOC'!C17)</f>
        <v>51</v>
      </c>
      <c r="D233" s="35" t="str">
        <f>IF('C.SOC'!D17=0," ",'C.SOC'!D17)</f>
        <v xml:space="preserve"> </v>
      </c>
      <c r="E233" s="35" t="str">
        <f>IF('C.SOC'!E17=0," ",'C.SOC'!E17)</f>
        <v xml:space="preserve"> </v>
      </c>
      <c r="F233" s="35">
        <f>IF('C.SOC'!F17=0," ",'C.SOC'!F17)</f>
        <v>17</v>
      </c>
      <c r="G233" s="18"/>
    </row>
    <row r="234" spans="1:9" ht="17.100000000000001" customHeight="1">
      <c r="A234" s="271"/>
      <c r="B234" s="34" t="s">
        <v>43</v>
      </c>
      <c r="C234" s="35">
        <f>IF('E. FIS.'!C17=0," ",'E. FIS.'!C17)</f>
        <v>80</v>
      </c>
      <c r="D234" s="35" t="str">
        <f>IF('E. FIS.'!D17=0," ",'E. FIS.'!D17)</f>
        <v xml:space="preserve"> </v>
      </c>
      <c r="E234" s="35" t="str">
        <f>IF('E. FIS.'!E17=0," ",'E. FIS.'!E17)</f>
        <v xml:space="preserve"> </v>
      </c>
      <c r="F234" s="35">
        <f>IF('E. FIS.'!F17=0," ",'E. FIS.'!F17)</f>
        <v>27</v>
      </c>
      <c r="G234" s="18"/>
    </row>
    <row r="235" spans="1:9" ht="17.100000000000001" customHeight="1">
      <c r="A235" s="271"/>
      <c r="B235" s="34" t="s">
        <v>44</v>
      </c>
      <c r="C235" s="35">
        <f>IF(MUS.!C17=0," ",MUS.!C17)</f>
        <v>70</v>
      </c>
      <c r="D235" s="35" t="str">
        <f>IF(MUS.!D17=0," ",MUS.!D17)</f>
        <v xml:space="preserve"> </v>
      </c>
      <c r="E235" s="35" t="str">
        <f>IF(MUS.!E17=0," ",MUS.!E17)</f>
        <v xml:space="preserve"> </v>
      </c>
      <c r="F235" s="35">
        <f>IF(MUS.!F17=0," ",MUS.!F17)</f>
        <v>23</v>
      </c>
      <c r="G235" s="18"/>
    </row>
    <row r="236" spans="1:9" ht="17.100000000000001" customHeight="1">
      <c r="A236" s="271"/>
      <c r="B236" s="34" t="s">
        <v>11</v>
      </c>
      <c r="C236" s="35">
        <f>IF('A.PL. '!C17=0," ",'A.PL. '!C17)</f>
        <v>61</v>
      </c>
      <c r="D236" s="35" t="str">
        <f>IF('A.PL. '!D17=0," ",'A.PL. '!D17)</f>
        <v xml:space="preserve"> </v>
      </c>
      <c r="E236" s="35" t="str">
        <f>IF('A.PL. '!E17=0," ",'A.PL. '!E17)</f>
        <v xml:space="preserve"> </v>
      </c>
      <c r="F236" s="35">
        <f>IF('A.PL. '!F17=0," ",'A.PL. '!F17)</f>
        <v>20</v>
      </c>
      <c r="G236" s="18"/>
    </row>
    <row r="237" spans="1:9" ht="17.100000000000001" customHeight="1">
      <c r="A237" s="272" t="s">
        <v>64</v>
      </c>
      <c r="B237" s="34" t="s">
        <v>62</v>
      </c>
      <c r="C237" s="35">
        <f>IF(MAT!C17=0," ",MAT!C17)</f>
        <v>52</v>
      </c>
      <c r="D237" s="35" t="str">
        <f>IF(MAT!D17=0," ",MAT!D17)</f>
        <v xml:space="preserve"> </v>
      </c>
      <c r="E237" s="35" t="str">
        <f>IF(MAT!E17=0," ",MAT!E17)</f>
        <v xml:space="preserve"> </v>
      </c>
      <c r="F237" s="35">
        <f>IF(MAT!F17=0," ",MAT!F17)</f>
        <v>17</v>
      </c>
      <c r="G237" s="18"/>
    </row>
    <row r="238" spans="1:9" ht="17.100000000000001" customHeight="1">
      <c r="A238" s="272"/>
      <c r="B238" s="34" t="s">
        <v>101</v>
      </c>
      <c r="C238" s="35">
        <f>IF('T. TEC. GRAL'!C17=0," ",'T. TEC. GRAL'!C17)</f>
        <v>56</v>
      </c>
      <c r="D238" s="35" t="str">
        <f>IF('T. TEC. GRAL'!D17=0," ",'T. TEC. GRAL'!D17)</f>
        <v xml:space="preserve"> </v>
      </c>
      <c r="E238" s="35" t="str">
        <f>IF('T. TEC. GRAL'!E17=0," ",'T. TEC. GRAL'!E17)</f>
        <v xml:space="preserve"> </v>
      </c>
      <c r="F238" s="35">
        <f>IF('T. TEC. GRAL'!F17=0," ",'T. TEC. GRAL'!F17)</f>
        <v>19</v>
      </c>
      <c r="G238" s="18"/>
    </row>
    <row r="239" spans="1:9" ht="24" customHeight="1">
      <c r="A239" s="142" t="s">
        <v>79</v>
      </c>
      <c r="B239" s="34" t="s">
        <v>63</v>
      </c>
      <c r="C239" s="35">
        <f>IF('BIO-GEO'!C17=0," ",'BIO-GEO'!C17)</f>
        <v>59</v>
      </c>
      <c r="D239" s="35" t="str">
        <f>IF('BIO-GEO'!D17=0," ",'BIO-GEO'!D17)</f>
        <v xml:space="preserve"> </v>
      </c>
      <c r="E239" s="35" t="str">
        <f>IF('BIO-GEO'!E17=0," ",'BIO-GEO'!E17)</f>
        <v xml:space="preserve"> </v>
      </c>
      <c r="F239" s="35">
        <f>IF('BIO-GEO'!F17=0," ",'BIO-GEO'!F17)</f>
        <v>20</v>
      </c>
      <c r="G239" s="18"/>
    </row>
    <row r="240" spans="1:9" ht="17.100000000000001" customHeight="1">
      <c r="A240" s="271" t="s">
        <v>39</v>
      </c>
      <c r="B240" s="34" t="s">
        <v>54</v>
      </c>
      <c r="C240" s="35">
        <f>IF(PSI!C17=0," ",PSI!C17)</f>
        <v>51</v>
      </c>
      <c r="D240" s="35" t="str">
        <f>IF(PSI!D17=0," ",PSI!D17)</f>
        <v xml:space="preserve"> </v>
      </c>
      <c r="E240" s="35" t="str">
        <f>IF(PSI!E17=0," ",PSI!E17)</f>
        <v xml:space="preserve"> </v>
      </c>
      <c r="F240" s="35">
        <f>IF(PSI!F17=0," ",PSI!F17)</f>
        <v>17</v>
      </c>
      <c r="G240" s="18"/>
    </row>
    <row r="241" spans="1:9" ht="17.100000000000001" customHeight="1">
      <c r="A241" s="271"/>
      <c r="B241" s="34" t="s">
        <v>55</v>
      </c>
      <c r="C241" s="35">
        <f>IF('REL.'!C17=0," ",'REL.'!C17)</f>
        <v>70.666666666666671</v>
      </c>
      <c r="D241" s="35" t="str">
        <f>IF('REL.'!D17=0," ",'REL.'!D17)</f>
        <v xml:space="preserve"> </v>
      </c>
      <c r="E241" s="35" t="str">
        <f>IF('REL.'!E17=0," ",'REL.'!E17)</f>
        <v xml:space="preserve"> </v>
      </c>
      <c r="F241" s="35">
        <f>IF('REL.'!F17=0," ",'REL.'!F17)</f>
        <v>24</v>
      </c>
      <c r="G241" s="18"/>
    </row>
    <row r="242" spans="1:9" ht="15.95" customHeight="1">
      <c r="A242" s="143"/>
      <c r="B242" s="144"/>
      <c r="C242" s="38"/>
      <c r="D242" s="38"/>
      <c r="E242" s="38"/>
      <c r="F242" s="38"/>
      <c r="G242" s="18"/>
    </row>
    <row r="243" spans="1:9" ht="17.25" customHeight="1">
      <c r="A243" s="18"/>
      <c r="B243" s="18"/>
      <c r="C243" s="278" t="s">
        <v>42</v>
      </c>
      <c r="D243" s="278"/>
      <c r="E243" s="278"/>
      <c r="F243" s="18"/>
      <c r="G243" s="18"/>
    </row>
    <row r="244" spans="1:9" ht="15.95" customHeight="1">
      <c r="A244" s="270" t="str">
        <f t="shared" ref="A244" si="11">$A$3</f>
        <v>U. E. ABAROA B</v>
      </c>
      <c r="B244" s="270"/>
      <c r="C244" s="18"/>
      <c r="D244" s="18"/>
      <c r="E244" s="18"/>
      <c r="F244" s="182" t="str">
        <f>NOMINA!$D$2</f>
        <v>GESTION: 2026</v>
      </c>
      <c r="G244" s="18"/>
    </row>
    <row r="245" spans="1:9" s="14" customFormat="1" ht="21.95" customHeight="1">
      <c r="A245" s="273" t="str">
        <f>NOMINA!$B$2</f>
        <v>CURSO 2A</v>
      </c>
      <c r="B245" s="274"/>
      <c r="C245" s="280" t="str">
        <f>NOMINA!B18</f>
        <v>CORIA URUÑO CHRISTOPER GABRIEL</v>
      </c>
      <c r="D245" s="281"/>
      <c r="E245" s="281"/>
      <c r="F245" s="281"/>
      <c r="G245" s="49"/>
    </row>
    <row r="246" spans="1:9" ht="15.95" customHeight="1">
      <c r="A246" s="279">
        <f>NOMINA!A18</f>
        <v>13</v>
      </c>
      <c r="B246" s="52"/>
      <c r="C246" s="43" t="s">
        <v>5</v>
      </c>
      <c r="D246" s="271" t="s">
        <v>9</v>
      </c>
      <c r="E246" s="271"/>
      <c r="F246" s="179" t="s">
        <v>7</v>
      </c>
      <c r="G246" s="18"/>
    </row>
    <row r="247" spans="1:9" ht="15.95" customHeight="1">
      <c r="A247" s="279"/>
      <c r="B247" s="53"/>
      <c r="C247" s="178">
        <f>NOMINA!C18</f>
        <v>0</v>
      </c>
      <c r="D247" s="284">
        <f>NOMINA!D18</f>
        <v>0</v>
      </c>
      <c r="E247" s="284"/>
      <c r="F247" s="181">
        <f>NOMINA!F18</f>
        <v>0</v>
      </c>
      <c r="G247" s="18"/>
    </row>
    <row r="248" spans="1:9" s="16" customFormat="1" ht="15.95" customHeight="1">
      <c r="A248" s="275" t="s">
        <v>35</v>
      </c>
      <c r="B248" s="282" t="s">
        <v>37</v>
      </c>
      <c r="C248" s="30" t="s">
        <v>84</v>
      </c>
      <c r="D248" s="30" t="s">
        <v>82</v>
      </c>
      <c r="E248" s="30" t="s">
        <v>83</v>
      </c>
      <c r="F248" s="180" t="s">
        <v>38</v>
      </c>
      <c r="G248" s="31"/>
      <c r="I248" s="17"/>
    </row>
    <row r="249" spans="1:9" s="16" customFormat="1" ht="15.95" customHeight="1">
      <c r="A249" s="276"/>
      <c r="B249" s="283"/>
      <c r="C249" s="32" t="s">
        <v>33</v>
      </c>
      <c r="D249" s="32" t="s">
        <v>33</v>
      </c>
      <c r="E249" s="32" t="s">
        <v>33</v>
      </c>
      <c r="F249" s="46" t="s">
        <v>33</v>
      </c>
      <c r="G249" s="31"/>
    </row>
    <row r="250" spans="1:9" ht="17.100000000000001" customHeight="1">
      <c r="A250" s="271" t="s">
        <v>45</v>
      </c>
      <c r="B250" s="34" t="s">
        <v>36</v>
      </c>
      <c r="C250" s="35">
        <f>IF(LEN!C18=0," ",LEN!C18)</f>
        <v>69</v>
      </c>
      <c r="D250" s="35" t="str">
        <f>IF(LEN!D18=0," ",LEN!D18)</f>
        <v xml:space="preserve"> </v>
      </c>
      <c r="E250" s="35" t="str">
        <f>IF(LEN!E18=0," ",LEN!E18)</f>
        <v xml:space="preserve"> </v>
      </c>
      <c r="F250" s="35">
        <f>IF(LEN!F18=0," ",LEN!F18)</f>
        <v>23</v>
      </c>
      <c r="G250" s="18"/>
    </row>
    <row r="251" spans="1:9" ht="17.100000000000001" customHeight="1">
      <c r="A251" s="271"/>
      <c r="B251" s="34" t="s">
        <v>10</v>
      </c>
      <c r="C251" s="35">
        <f>IF(ING!C18=0," ",ING!C18)</f>
        <v>76</v>
      </c>
      <c r="D251" s="35" t="str">
        <f>IF(ING!D18=0," ",ING!D18)</f>
        <v xml:space="preserve"> </v>
      </c>
      <c r="E251" s="35" t="str">
        <f>IF(ING!E18=0," ",ING!E18)</f>
        <v xml:space="preserve"> </v>
      </c>
      <c r="F251" s="35">
        <f>IF(ING!F18=0," ",ING!F18)</f>
        <v>25</v>
      </c>
      <c r="G251" s="18"/>
    </row>
    <row r="252" spans="1:9" ht="17.100000000000001" customHeight="1">
      <c r="A252" s="271"/>
      <c r="B252" s="34" t="s">
        <v>61</v>
      </c>
      <c r="C252" s="35">
        <f>IF('C.SOC'!C18=0," ",'C.SOC'!C18)</f>
        <v>51</v>
      </c>
      <c r="D252" s="35" t="str">
        <f>IF('C.SOC'!D18=0," ",'C.SOC'!D18)</f>
        <v xml:space="preserve"> </v>
      </c>
      <c r="E252" s="35" t="str">
        <f>IF('C.SOC'!E18=0," ",'C.SOC'!E18)</f>
        <v xml:space="preserve"> </v>
      </c>
      <c r="F252" s="35">
        <f>IF('C.SOC'!F18=0," ",'C.SOC'!F18)</f>
        <v>17</v>
      </c>
      <c r="G252" s="18"/>
    </row>
    <row r="253" spans="1:9" ht="17.100000000000001" customHeight="1">
      <c r="A253" s="271"/>
      <c r="B253" s="34" t="s">
        <v>43</v>
      </c>
      <c r="C253" s="35">
        <f>IF('E. FIS.'!C18=0," ",'E. FIS.'!C18)</f>
        <v>78</v>
      </c>
      <c r="D253" s="35" t="str">
        <f>IF('E. FIS.'!D18=0," ",'E. FIS.'!D18)</f>
        <v xml:space="preserve"> </v>
      </c>
      <c r="E253" s="35" t="str">
        <f>IF('E. FIS.'!E18=0," ",'E. FIS.'!E18)</f>
        <v xml:space="preserve"> </v>
      </c>
      <c r="F253" s="35">
        <f>IF('E. FIS.'!F18=0," ",'E. FIS.'!F18)</f>
        <v>26</v>
      </c>
      <c r="G253" s="18"/>
    </row>
    <row r="254" spans="1:9" ht="17.100000000000001" customHeight="1">
      <c r="A254" s="271"/>
      <c r="B254" s="34" t="s">
        <v>44</v>
      </c>
      <c r="C254" s="35">
        <f>IF(MUS.!C18=0," ",MUS.!C18)</f>
        <v>93</v>
      </c>
      <c r="D254" s="35" t="str">
        <f>IF(MUS.!D18=0," ",MUS.!D18)</f>
        <v xml:space="preserve"> </v>
      </c>
      <c r="E254" s="35" t="str">
        <f>IF(MUS.!E18=0," ",MUS.!E18)</f>
        <v xml:space="preserve"> </v>
      </c>
      <c r="F254" s="35">
        <f>IF(MUS.!F18=0," ",MUS.!F18)</f>
        <v>31</v>
      </c>
      <c r="G254" s="18"/>
    </row>
    <row r="255" spans="1:9" ht="17.100000000000001" customHeight="1">
      <c r="A255" s="271"/>
      <c r="B255" s="34" t="s">
        <v>11</v>
      </c>
      <c r="C255" s="35">
        <f>IF('A.PL. '!C18=0," ",'A.PL. '!C18)</f>
        <v>62</v>
      </c>
      <c r="D255" s="35" t="str">
        <f>IF('A.PL. '!D18=0," ",'A.PL. '!D18)</f>
        <v xml:space="preserve"> </v>
      </c>
      <c r="E255" s="35" t="str">
        <f>IF('A.PL. '!E18=0," ",'A.PL. '!E18)</f>
        <v xml:space="preserve"> </v>
      </c>
      <c r="F255" s="35">
        <f>IF('A.PL. '!F18=0," ",'A.PL. '!F18)</f>
        <v>21</v>
      </c>
      <c r="G255" s="18"/>
    </row>
    <row r="256" spans="1:9" ht="17.100000000000001" customHeight="1">
      <c r="A256" s="272" t="s">
        <v>64</v>
      </c>
      <c r="B256" s="34" t="s">
        <v>62</v>
      </c>
      <c r="C256" s="35">
        <f>IF(MAT!C18=0," ",MAT!C18)</f>
        <v>86</v>
      </c>
      <c r="D256" s="35" t="str">
        <f>IF(MAT!D18=0," ",MAT!D18)</f>
        <v xml:space="preserve"> </v>
      </c>
      <c r="E256" s="35" t="str">
        <f>IF(MAT!E18=0," ",MAT!E18)</f>
        <v xml:space="preserve"> </v>
      </c>
      <c r="F256" s="35">
        <f>IF(MAT!F18=0," ",MAT!F18)</f>
        <v>29</v>
      </c>
      <c r="G256" s="18"/>
    </row>
    <row r="257" spans="1:9" ht="17.100000000000001" customHeight="1">
      <c r="A257" s="272"/>
      <c r="B257" s="34" t="s">
        <v>101</v>
      </c>
      <c r="C257" s="35">
        <f>IF('T. TEC. GRAL'!C18=0," ",'T. TEC. GRAL'!C18)</f>
        <v>68</v>
      </c>
      <c r="D257" s="35" t="str">
        <f>IF('T. TEC. GRAL'!D18=0," ",'T. TEC. GRAL'!D18)</f>
        <v xml:space="preserve"> </v>
      </c>
      <c r="E257" s="35" t="str">
        <f>IF('T. TEC. GRAL'!E18=0," ",'T. TEC. GRAL'!E18)</f>
        <v xml:space="preserve"> </v>
      </c>
      <c r="F257" s="35">
        <f>IF('T. TEC. GRAL'!F18=0," ",'T. TEC. GRAL'!F18)</f>
        <v>23</v>
      </c>
      <c r="G257" s="18"/>
    </row>
    <row r="258" spans="1:9" ht="24" customHeight="1">
      <c r="A258" s="142" t="s">
        <v>79</v>
      </c>
      <c r="B258" s="34" t="s">
        <v>63</v>
      </c>
      <c r="C258" s="35">
        <f>IF('BIO-GEO'!C18=0," ",'BIO-GEO'!C18)</f>
        <v>78</v>
      </c>
      <c r="D258" s="35" t="str">
        <f>IF('BIO-GEO'!D18=0," ",'BIO-GEO'!D18)</f>
        <v xml:space="preserve"> </v>
      </c>
      <c r="E258" s="35" t="str">
        <f>IF('BIO-GEO'!E18=0," ",'BIO-GEO'!E18)</f>
        <v xml:space="preserve"> </v>
      </c>
      <c r="F258" s="35">
        <f>IF('BIO-GEO'!F18=0," ",'BIO-GEO'!F18)</f>
        <v>26</v>
      </c>
      <c r="G258" s="18"/>
    </row>
    <row r="259" spans="1:9" ht="17.100000000000001" customHeight="1">
      <c r="A259" s="271" t="s">
        <v>39</v>
      </c>
      <c r="B259" s="34" t="s">
        <v>54</v>
      </c>
      <c r="C259" s="35">
        <f>IF(PSI!C18=0," ",PSI!C18)</f>
        <v>69</v>
      </c>
      <c r="D259" s="35" t="str">
        <f>IF(PSI!D18=0," ",PSI!D18)</f>
        <v xml:space="preserve"> </v>
      </c>
      <c r="E259" s="35" t="str">
        <f>IF(PSI!E18=0," ",PSI!E18)</f>
        <v xml:space="preserve"> </v>
      </c>
      <c r="F259" s="35">
        <f>IF(PSI!F18=0," ",PSI!F18)</f>
        <v>23</v>
      </c>
      <c r="G259" s="18"/>
    </row>
    <row r="260" spans="1:9" ht="17.100000000000001" customHeight="1">
      <c r="A260" s="271"/>
      <c r="B260" s="34" t="s">
        <v>55</v>
      </c>
      <c r="C260" s="35">
        <f>IF('REL.'!C18=0," ",'REL.'!C18)</f>
        <v>61.416666666666671</v>
      </c>
      <c r="D260" s="35" t="str">
        <f>IF('REL.'!D18=0," ",'REL.'!D18)</f>
        <v xml:space="preserve"> </v>
      </c>
      <c r="E260" s="35" t="str">
        <f>IF('REL.'!E18=0," ",'REL.'!E18)</f>
        <v xml:space="preserve"> </v>
      </c>
      <c r="F260" s="35">
        <f>IF('REL.'!F18=0," ",'REL.'!F18)</f>
        <v>20</v>
      </c>
      <c r="G260" s="18"/>
    </row>
    <row r="261" spans="1:9" ht="24.75" customHeight="1">
      <c r="A261" s="143"/>
      <c r="B261" s="144"/>
      <c r="C261" s="38"/>
      <c r="D261" s="38"/>
      <c r="E261" s="38"/>
      <c r="F261" s="38"/>
      <c r="G261" s="18"/>
    </row>
    <row r="262" spans="1:9" ht="15.95" customHeight="1">
      <c r="A262" s="143"/>
      <c r="B262" s="144"/>
      <c r="C262" s="38"/>
      <c r="D262" s="38"/>
      <c r="E262" s="38"/>
      <c r="F262" s="38"/>
      <c r="G262" s="18"/>
    </row>
    <row r="263" spans="1:9" ht="15.95" customHeight="1">
      <c r="A263" s="143"/>
      <c r="B263" s="144"/>
      <c r="C263" s="38"/>
      <c r="D263" s="38"/>
      <c r="E263" s="38"/>
      <c r="F263" s="38"/>
      <c r="G263" s="18"/>
    </row>
    <row r="264" spans="1:9" ht="17.25" customHeight="1">
      <c r="A264" s="18"/>
      <c r="B264" s="18"/>
      <c r="C264" s="278" t="s">
        <v>42</v>
      </c>
      <c r="D264" s="278"/>
      <c r="E264" s="278"/>
      <c r="F264" s="18"/>
      <c r="G264" s="18"/>
    </row>
    <row r="265" spans="1:9" ht="15.95" customHeight="1">
      <c r="A265" s="270" t="str">
        <f t="shared" ref="A265" si="12">$A$3</f>
        <v>U. E. ABAROA B</v>
      </c>
      <c r="B265" s="270"/>
      <c r="C265" s="18"/>
      <c r="D265" s="18"/>
      <c r="E265" s="18"/>
      <c r="F265" s="182" t="str">
        <f>NOMINA!$D$2</f>
        <v>GESTION: 2026</v>
      </c>
      <c r="G265" s="18"/>
    </row>
    <row r="266" spans="1:9" s="14" customFormat="1" ht="21.95" customHeight="1">
      <c r="A266" s="273" t="str">
        <f>NOMINA!$B$2</f>
        <v>CURSO 2A</v>
      </c>
      <c r="B266" s="274"/>
      <c r="C266" s="280" t="str">
        <f>NOMINA!B19</f>
        <v>FLORES BALLESTEROS LEANDRO FRANK</v>
      </c>
      <c r="D266" s="281"/>
      <c r="E266" s="281"/>
      <c r="F266" s="281"/>
      <c r="G266" s="49"/>
    </row>
    <row r="267" spans="1:9" ht="15.95" customHeight="1">
      <c r="A267" s="279">
        <f>NOMINA!A19</f>
        <v>14</v>
      </c>
      <c r="B267" s="41"/>
      <c r="C267" s="47" t="s">
        <v>5</v>
      </c>
      <c r="D267" s="271" t="s">
        <v>9</v>
      </c>
      <c r="E267" s="271"/>
      <c r="F267" s="179" t="s">
        <v>7</v>
      </c>
      <c r="G267" s="18"/>
    </row>
    <row r="268" spans="1:9" ht="15.95" customHeight="1">
      <c r="A268" s="279"/>
      <c r="B268" s="44"/>
      <c r="C268" s="178">
        <f>NOMINA!C19</f>
        <v>0</v>
      </c>
      <c r="D268" s="284">
        <f>NOMINA!D19</f>
        <v>0</v>
      </c>
      <c r="E268" s="284"/>
      <c r="F268" s="181">
        <f>NOMINA!F19</f>
        <v>0</v>
      </c>
      <c r="G268" s="18"/>
    </row>
    <row r="269" spans="1:9" s="16" customFormat="1" ht="15.95" customHeight="1">
      <c r="A269" s="275" t="s">
        <v>35</v>
      </c>
      <c r="B269" s="282" t="s">
        <v>37</v>
      </c>
      <c r="C269" s="30" t="s">
        <v>84</v>
      </c>
      <c r="D269" s="30" t="s">
        <v>82</v>
      </c>
      <c r="E269" s="30" t="s">
        <v>83</v>
      </c>
      <c r="F269" s="180" t="s">
        <v>38</v>
      </c>
      <c r="G269" s="31"/>
      <c r="I269" s="17"/>
    </row>
    <row r="270" spans="1:9" s="16" customFormat="1" ht="15.95" customHeight="1">
      <c r="A270" s="276"/>
      <c r="B270" s="283"/>
      <c r="C270" s="32" t="s">
        <v>33</v>
      </c>
      <c r="D270" s="32" t="s">
        <v>33</v>
      </c>
      <c r="E270" s="32" t="s">
        <v>33</v>
      </c>
      <c r="F270" s="46" t="s">
        <v>33</v>
      </c>
      <c r="G270" s="31"/>
    </row>
    <row r="271" spans="1:9" ht="17.100000000000001" customHeight="1">
      <c r="A271" s="271" t="s">
        <v>45</v>
      </c>
      <c r="B271" s="34" t="s">
        <v>36</v>
      </c>
      <c r="C271" s="35">
        <f>IF(LEN!C19=0," ",LEN!C19)</f>
        <v>68</v>
      </c>
      <c r="D271" s="35" t="str">
        <f>IF(LEN!D19=0," ",LEN!D19)</f>
        <v xml:space="preserve"> </v>
      </c>
      <c r="E271" s="35" t="str">
        <f>IF(LEN!E19=0," ",LEN!E19)</f>
        <v xml:space="preserve"> </v>
      </c>
      <c r="F271" s="35">
        <f>IF(LEN!F19=0," ",LEN!F19)</f>
        <v>23</v>
      </c>
      <c r="G271" s="18"/>
    </row>
    <row r="272" spans="1:9" ht="17.100000000000001" customHeight="1">
      <c r="A272" s="271"/>
      <c r="B272" s="34" t="s">
        <v>10</v>
      </c>
      <c r="C272" s="35">
        <f>IF(ING!C19=0," ",ING!C19)</f>
        <v>61</v>
      </c>
      <c r="D272" s="35" t="str">
        <f>IF(ING!D19=0," ",ING!D19)</f>
        <v xml:space="preserve"> </v>
      </c>
      <c r="E272" s="35" t="str">
        <f>IF(ING!E19=0," ",ING!E19)</f>
        <v xml:space="preserve"> </v>
      </c>
      <c r="F272" s="35">
        <f>IF(ING!F19=0," ",ING!F19)</f>
        <v>20</v>
      </c>
      <c r="G272" s="18"/>
    </row>
    <row r="273" spans="1:9" ht="17.100000000000001" customHeight="1">
      <c r="A273" s="271"/>
      <c r="B273" s="34" t="s">
        <v>61</v>
      </c>
      <c r="C273" s="35">
        <f>IF('C.SOC'!C19=0," ",'C.SOC'!C19)</f>
        <v>54</v>
      </c>
      <c r="D273" s="35" t="str">
        <f>IF('C.SOC'!D19=0," ",'C.SOC'!D19)</f>
        <v xml:space="preserve"> </v>
      </c>
      <c r="E273" s="35" t="str">
        <f>IF('C.SOC'!E19=0," ",'C.SOC'!E19)</f>
        <v xml:space="preserve"> </v>
      </c>
      <c r="F273" s="35">
        <f>IF('C.SOC'!F19=0," ",'C.SOC'!F19)</f>
        <v>18</v>
      </c>
      <c r="G273" s="18"/>
    </row>
    <row r="274" spans="1:9" ht="17.100000000000001" customHeight="1">
      <c r="A274" s="271"/>
      <c r="B274" s="34" t="s">
        <v>43</v>
      </c>
      <c r="C274" s="35">
        <f>IF('E. FIS.'!C19=0," ",'E. FIS.'!C19)</f>
        <v>72</v>
      </c>
      <c r="D274" s="35" t="str">
        <f>IF('E. FIS.'!D19=0," ",'E. FIS.'!D19)</f>
        <v xml:space="preserve"> </v>
      </c>
      <c r="E274" s="35" t="str">
        <f>IF('E. FIS.'!E19=0," ",'E. FIS.'!E19)</f>
        <v xml:space="preserve"> </v>
      </c>
      <c r="F274" s="35">
        <f>IF('E. FIS.'!F19=0," ",'E. FIS.'!F19)</f>
        <v>24</v>
      </c>
      <c r="G274" s="18"/>
    </row>
    <row r="275" spans="1:9" ht="17.100000000000001" customHeight="1">
      <c r="A275" s="271"/>
      <c r="B275" s="34" t="s">
        <v>44</v>
      </c>
      <c r="C275" s="35">
        <f>IF(MUS.!C19=0," ",MUS.!C19)</f>
        <v>85</v>
      </c>
      <c r="D275" s="35" t="str">
        <f>IF(MUS.!D19=0," ",MUS.!D19)</f>
        <v xml:space="preserve"> </v>
      </c>
      <c r="E275" s="35" t="str">
        <f>IF(MUS.!E19=0," ",MUS.!E19)</f>
        <v xml:space="preserve"> </v>
      </c>
      <c r="F275" s="35">
        <f>IF(MUS.!F19=0," ",MUS.!F19)</f>
        <v>28</v>
      </c>
      <c r="G275" s="18"/>
    </row>
    <row r="276" spans="1:9" ht="17.100000000000001" customHeight="1">
      <c r="A276" s="271"/>
      <c r="B276" s="34" t="s">
        <v>11</v>
      </c>
      <c r="C276" s="35">
        <f>IF('A.PL. '!C19=0," ",'A.PL. '!C19)</f>
        <v>74</v>
      </c>
      <c r="D276" s="35" t="str">
        <f>IF('A.PL. '!D19=0," ",'A.PL. '!D19)</f>
        <v xml:space="preserve"> </v>
      </c>
      <c r="E276" s="35" t="str">
        <f>IF('A.PL. '!E19=0," ",'A.PL. '!E19)</f>
        <v xml:space="preserve"> </v>
      </c>
      <c r="F276" s="35">
        <f>IF('A.PL. '!F19=0," ",'A.PL. '!F19)</f>
        <v>25</v>
      </c>
      <c r="G276" s="18"/>
    </row>
    <row r="277" spans="1:9" ht="17.100000000000001" customHeight="1">
      <c r="A277" s="272" t="s">
        <v>64</v>
      </c>
      <c r="B277" s="34" t="s">
        <v>62</v>
      </c>
      <c r="C277" s="35">
        <f>IF(MAT!C19=0," ",MAT!C19)</f>
        <v>73</v>
      </c>
      <c r="D277" s="35" t="str">
        <f>IF(MAT!D19=0," ",MAT!D19)</f>
        <v xml:space="preserve"> </v>
      </c>
      <c r="E277" s="35" t="str">
        <f>IF(MAT!E19=0," ",MAT!E19)</f>
        <v xml:space="preserve"> </v>
      </c>
      <c r="F277" s="35">
        <f>IF(MAT!F19=0," ",MAT!F19)</f>
        <v>24</v>
      </c>
      <c r="G277" s="18"/>
    </row>
    <row r="278" spans="1:9" ht="17.100000000000001" customHeight="1">
      <c r="A278" s="272"/>
      <c r="B278" s="34" t="s">
        <v>101</v>
      </c>
      <c r="C278" s="35">
        <f>IF('T. TEC. GRAL'!C19=0," ",'T. TEC. GRAL'!C19)</f>
        <v>69</v>
      </c>
      <c r="D278" s="35" t="str">
        <f>IF('T. TEC. GRAL'!D19=0," ",'T. TEC. GRAL'!D19)</f>
        <v xml:space="preserve"> </v>
      </c>
      <c r="E278" s="35" t="str">
        <f>IF('T. TEC. GRAL'!E19=0," ",'T. TEC. GRAL'!E19)</f>
        <v xml:space="preserve"> </v>
      </c>
      <c r="F278" s="35">
        <f>IF('T. TEC. GRAL'!F19=0," ",'T. TEC. GRAL'!F19)</f>
        <v>23</v>
      </c>
      <c r="G278" s="18"/>
    </row>
    <row r="279" spans="1:9" ht="24" customHeight="1">
      <c r="A279" s="142" t="s">
        <v>79</v>
      </c>
      <c r="B279" s="34" t="s">
        <v>63</v>
      </c>
      <c r="C279" s="35">
        <f>IF('BIO-GEO'!C19=0," ",'BIO-GEO'!C19)</f>
        <v>80</v>
      </c>
      <c r="D279" s="35" t="str">
        <f>IF('BIO-GEO'!D19=0," ",'BIO-GEO'!D19)</f>
        <v xml:space="preserve"> </v>
      </c>
      <c r="E279" s="35" t="str">
        <f>IF('BIO-GEO'!E19=0," ",'BIO-GEO'!E19)</f>
        <v xml:space="preserve"> </v>
      </c>
      <c r="F279" s="35">
        <f>IF('BIO-GEO'!F19=0," ",'BIO-GEO'!F19)</f>
        <v>27</v>
      </c>
      <c r="G279" s="18"/>
    </row>
    <row r="280" spans="1:9" ht="17.100000000000001" customHeight="1">
      <c r="A280" s="271" t="s">
        <v>39</v>
      </c>
      <c r="B280" s="34" t="s">
        <v>54</v>
      </c>
      <c r="C280" s="35">
        <f>IF(PSI!C19=0," ",PSI!C19)</f>
        <v>64</v>
      </c>
      <c r="D280" s="35" t="str">
        <f>IF(PSI!D19=0," ",PSI!D19)</f>
        <v xml:space="preserve"> </v>
      </c>
      <c r="E280" s="35" t="str">
        <f>IF(PSI!E19=0," ",PSI!E19)</f>
        <v xml:space="preserve"> </v>
      </c>
      <c r="F280" s="35">
        <f>IF(PSI!F19=0," ",PSI!F19)</f>
        <v>21</v>
      </c>
      <c r="G280" s="18"/>
    </row>
    <row r="281" spans="1:9" ht="17.100000000000001" customHeight="1">
      <c r="A281" s="271"/>
      <c r="B281" s="34" t="s">
        <v>55</v>
      </c>
      <c r="C281" s="35">
        <f>IF('REL.'!C19=0," ",'REL.'!C19)</f>
        <v>65.666666666666671</v>
      </c>
      <c r="D281" s="35" t="str">
        <f>IF('REL.'!D19=0," ",'REL.'!D19)</f>
        <v xml:space="preserve"> </v>
      </c>
      <c r="E281" s="35" t="str">
        <f>IF('REL.'!E19=0," ",'REL.'!E19)</f>
        <v xml:space="preserve"> </v>
      </c>
      <c r="F281" s="35">
        <f>IF('REL.'!F19=0," ",'REL.'!F19)</f>
        <v>22</v>
      </c>
      <c r="G281" s="18"/>
    </row>
    <row r="282" spans="1:9" ht="15.95" customHeight="1">
      <c r="A282" s="143"/>
      <c r="B282" s="144"/>
      <c r="C282" s="38"/>
      <c r="D282" s="38"/>
      <c r="E282" s="38"/>
      <c r="F282" s="38"/>
      <c r="G282" s="18"/>
    </row>
    <row r="283" spans="1:9" ht="17.25" customHeight="1">
      <c r="A283" s="18"/>
      <c r="B283" s="18"/>
      <c r="C283" s="278" t="s">
        <v>42</v>
      </c>
      <c r="D283" s="278"/>
      <c r="E283" s="278"/>
      <c r="F283" s="18"/>
      <c r="G283" s="18"/>
    </row>
    <row r="284" spans="1:9" ht="15.95" customHeight="1">
      <c r="A284" s="270" t="str">
        <f t="shared" ref="A284" si="13">$A$3</f>
        <v>U. E. ABAROA B</v>
      </c>
      <c r="B284" s="270"/>
      <c r="C284" s="18"/>
      <c r="D284" s="18"/>
      <c r="E284" s="18"/>
      <c r="F284" s="182" t="str">
        <f>NOMINA!$D$2</f>
        <v>GESTION: 2026</v>
      </c>
      <c r="G284" s="18"/>
    </row>
    <row r="285" spans="1:9" s="14" customFormat="1" ht="21.95" customHeight="1">
      <c r="A285" s="273" t="str">
        <f>NOMINA!$B$2</f>
        <v>CURSO 2A</v>
      </c>
      <c r="B285" s="274"/>
      <c r="C285" s="280" t="str">
        <f>NOMINA!B20</f>
        <v>GONZALES MOLINA ARIANET BELEN</v>
      </c>
      <c r="D285" s="281"/>
      <c r="E285" s="281"/>
      <c r="F285" s="281"/>
      <c r="G285" s="49"/>
    </row>
    <row r="286" spans="1:9" ht="15.95" customHeight="1">
      <c r="A286" s="279">
        <f>NOMINA!A20</f>
        <v>15</v>
      </c>
      <c r="B286" s="52"/>
      <c r="C286" s="43" t="s">
        <v>5</v>
      </c>
      <c r="D286" s="271" t="s">
        <v>9</v>
      </c>
      <c r="E286" s="271"/>
      <c r="F286" s="179" t="s">
        <v>7</v>
      </c>
      <c r="G286" s="18"/>
    </row>
    <row r="287" spans="1:9" ht="15.95" customHeight="1">
      <c r="A287" s="279"/>
      <c r="B287" s="53"/>
      <c r="C287" s="178">
        <f>NOMINA!C20</f>
        <v>0</v>
      </c>
      <c r="D287" s="284">
        <f>NOMINA!D20</f>
        <v>0</v>
      </c>
      <c r="E287" s="284"/>
      <c r="F287" s="181">
        <f>NOMINA!F20</f>
        <v>0</v>
      </c>
      <c r="G287" s="18"/>
    </row>
    <row r="288" spans="1:9" s="16" customFormat="1" ht="15.95" customHeight="1">
      <c r="A288" s="275" t="s">
        <v>35</v>
      </c>
      <c r="B288" s="282" t="s">
        <v>37</v>
      </c>
      <c r="C288" s="30" t="s">
        <v>84</v>
      </c>
      <c r="D288" s="30" t="s">
        <v>82</v>
      </c>
      <c r="E288" s="30" t="s">
        <v>83</v>
      </c>
      <c r="F288" s="180" t="s">
        <v>38</v>
      </c>
      <c r="G288" s="31"/>
      <c r="I288" s="17"/>
    </row>
    <row r="289" spans="1:7" s="16" customFormat="1" ht="15.95" customHeight="1">
      <c r="A289" s="276"/>
      <c r="B289" s="283"/>
      <c r="C289" s="32" t="s">
        <v>33</v>
      </c>
      <c r="D289" s="32" t="s">
        <v>33</v>
      </c>
      <c r="E289" s="32" t="s">
        <v>33</v>
      </c>
      <c r="F289" s="46" t="s">
        <v>33</v>
      </c>
      <c r="G289" s="31"/>
    </row>
    <row r="290" spans="1:7" ht="17.100000000000001" customHeight="1">
      <c r="A290" s="271" t="s">
        <v>45</v>
      </c>
      <c r="B290" s="34" t="s">
        <v>36</v>
      </c>
      <c r="C290" s="35">
        <f>IF(LEN!C20=0," ",LEN!C20)</f>
        <v>79</v>
      </c>
      <c r="D290" s="35" t="str">
        <f>IF(LEN!D20=0," ",LEN!D20)</f>
        <v xml:space="preserve"> </v>
      </c>
      <c r="E290" s="35" t="str">
        <f>IF(LEN!E20=0," ",LEN!E20)</f>
        <v xml:space="preserve"> </v>
      </c>
      <c r="F290" s="35">
        <f>IF(LEN!F20=0," ",LEN!F20)</f>
        <v>26</v>
      </c>
      <c r="G290" s="18"/>
    </row>
    <row r="291" spans="1:7" ht="17.100000000000001" customHeight="1">
      <c r="A291" s="271"/>
      <c r="B291" s="34" t="s">
        <v>10</v>
      </c>
      <c r="C291" s="35">
        <f>IF(ING!C20=0," ",ING!C20)</f>
        <v>79</v>
      </c>
      <c r="D291" s="35" t="str">
        <f>IF(ING!D20=0," ",ING!D20)</f>
        <v xml:space="preserve"> </v>
      </c>
      <c r="E291" s="35" t="str">
        <f>IF(ING!E20=0," ",ING!E20)</f>
        <v xml:space="preserve"> </v>
      </c>
      <c r="F291" s="35">
        <f>IF(ING!F20=0," ",ING!F20)</f>
        <v>26</v>
      </c>
      <c r="G291" s="18"/>
    </row>
    <row r="292" spans="1:7" ht="17.100000000000001" customHeight="1">
      <c r="A292" s="271"/>
      <c r="B292" s="34" t="s">
        <v>61</v>
      </c>
      <c r="C292" s="35">
        <f>IF('C.SOC'!C20=0," ",'C.SOC'!C20)</f>
        <v>74</v>
      </c>
      <c r="D292" s="35" t="str">
        <f>IF('C.SOC'!D20=0," ",'C.SOC'!D20)</f>
        <v xml:space="preserve"> </v>
      </c>
      <c r="E292" s="35" t="str">
        <f>IF('C.SOC'!E20=0," ",'C.SOC'!E20)</f>
        <v xml:space="preserve"> </v>
      </c>
      <c r="F292" s="35">
        <f>IF('C.SOC'!F20=0," ",'C.SOC'!F20)</f>
        <v>25</v>
      </c>
      <c r="G292" s="18"/>
    </row>
    <row r="293" spans="1:7" ht="17.100000000000001" customHeight="1">
      <c r="A293" s="271"/>
      <c r="B293" s="34" t="s">
        <v>43</v>
      </c>
      <c r="C293" s="35">
        <f>IF('E. FIS.'!C20=0," ",'E. FIS.'!C20)</f>
        <v>85</v>
      </c>
      <c r="D293" s="35" t="str">
        <f>IF('E. FIS.'!D20=0," ",'E. FIS.'!D20)</f>
        <v xml:space="preserve"> </v>
      </c>
      <c r="E293" s="35" t="str">
        <f>IF('E. FIS.'!E20=0," ",'E. FIS.'!E20)</f>
        <v xml:space="preserve"> </v>
      </c>
      <c r="F293" s="35">
        <f>IF('E. FIS.'!F20=0," ",'E. FIS.'!F20)</f>
        <v>28</v>
      </c>
      <c r="G293" s="18"/>
    </row>
    <row r="294" spans="1:7" ht="17.100000000000001" customHeight="1">
      <c r="A294" s="271"/>
      <c r="B294" s="34" t="s">
        <v>44</v>
      </c>
      <c r="C294" s="35">
        <f>IF(MUS.!C20=0," ",MUS.!C20)</f>
        <v>92</v>
      </c>
      <c r="D294" s="35" t="str">
        <f>IF(MUS.!D20=0," ",MUS.!D20)</f>
        <v xml:space="preserve"> </v>
      </c>
      <c r="E294" s="35" t="str">
        <f>IF(MUS.!E20=0," ",MUS.!E20)</f>
        <v xml:space="preserve"> </v>
      </c>
      <c r="F294" s="35">
        <f>IF(MUS.!F20=0," ",MUS.!F20)</f>
        <v>31</v>
      </c>
      <c r="G294" s="18"/>
    </row>
    <row r="295" spans="1:7" ht="17.100000000000001" customHeight="1">
      <c r="A295" s="271"/>
      <c r="B295" s="34" t="s">
        <v>11</v>
      </c>
      <c r="C295" s="35">
        <f>IF('A.PL. '!C20=0," ",'A.PL. '!C20)</f>
        <v>82</v>
      </c>
      <c r="D295" s="35" t="str">
        <f>IF('A.PL. '!D20=0," ",'A.PL. '!D20)</f>
        <v xml:space="preserve"> </v>
      </c>
      <c r="E295" s="35" t="str">
        <f>IF('A.PL. '!E20=0," ",'A.PL. '!E20)</f>
        <v xml:space="preserve"> </v>
      </c>
      <c r="F295" s="35">
        <f>IF('A.PL. '!F20=0," ",'A.PL. '!F20)</f>
        <v>27</v>
      </c>
      <c r="G295" s="18"/>
    </row>
    <row r="296" spans="1:7" ht="17.100000000000001" customHeight="1">
      <c r="A296" s="272" t="s">
        <v>64</v>
      </c>
      <c r="B296" s="34" t="s">
        <v>62</v>
      </c>
      <c r="C296" s="35">
        <f>IF(MAT!C20=0," ",MAT!C20)</f>
        <v>88</v>
      </c>
      <c r="D296" s="35" t="str">
        <f>IF(MAT!D20=0," ",MAT!D20)</f>
        <v xml:space="preserve"> </v>
      </c>
      <c r="E296" s="35" t="str">
        <f>IF(MAT!E20=0," ",MAT!E20)</f>
        <v xml:space="preserve"> </v>
      </c>
      <c r="F296" s="35">
        <f>IF(MAT!F20=0," ",MAT!F20)</f>
        <v>29</v>
      </c>
      <c r="G296" s="18"/>
    </row>
    <row r="297" spans="1:7" ht="17.100000000000001" customHeight="1">
      <c r="A297" s="272"/>
      <c r="B297" s="34" t="s">
        <v>101</v>
      </c>
      <c r="C297" s="35">
        <f>IF('T. TEC. GRAL'!C20=0," ",'T. TEC. GRAL'!C20)</f>
        <v>86</v>
      </c>
      <c r="D297" s="35" t="str">
        <f>IF('T. TEC. GRAL'!D20=0," ",'T. TEC. GRAL'!D20)</f>
        <v xml:space="preserve"> </v>
      </c>
      <c r="E297" s="35" t="str">
        <f>IF('T. TEC. GRAL'!E20=0," ",'T. TEC. GRAL'!E20)</f>
        <v xml:space="preserve"> </v>
      </c>
      <c r="F297" s="35">
        <f>IF('T. TEC. GRAL'!F20=0," ",'T. TEC. GRAL'!F20)</f>
        <v>29</v>
      </c>
      <c r="G297" s="18"/>
    </row>
    <row r="298" spans="1:7" ht="24" customHeight="1">
      <c r="A298" s="142" t="s">
        <v>79</v>
      </c>
      <c r="B298" s="34" t="s">
        <v>63</v>
      </c>
      <c r="C298" s="35">
        <f>IF('BIO-GEO'!C20=0," ",'BIO-GEO'!C20)</f>
        <v>71</v>
      </c>
      <c r="D298" s="35" t="str">
        <f>IF('BIO-GEO'!D20=0," ",'BIO-GEO'!D20)</f>
        <v xml:space="preserve"> </v>
      </c>
      <c r="E298" s="35" t="str">
        <f>IF('BIO-GEO'!E20=0," ",'BIO-GEO'!E20)</f>
        <v xml:space="preserve"> </v>
      </c>
      <c r="F298" s="35">
        <f>IF('BIO-GEO'!F20=0," ",'BIO-GEO'!F20)</f>
        <v>24</v>
      </c>
      <c r="G298" s="18"/>
    </row>
    <row r="299" spans="1:7" ht="17.100000000000001" customHeight="1">
      <c r="A299" s="271" t="s">
        <v>39</v>
      </c>
      <c r="B299" s="34" t="s">
        <v>54</v>
      </c>
      <c r="C299" s="35">
        <f>IF(PSI!C20=0," ",PSI!C20)</f>
        <v>85</v>
      </c>
      <c r="D299" s="35" t="str">
        <f>IF(PSI!D20=0," ",PSI!D20)</f>
        <v xml:space="preserve"> </v>
      </c>
      <c r="E299" s="35" t="str">
        <f>IF(PSI!E20=0," ",PSI!E20)</f>
        <v xml:space="preserve"> </v>
      </c>
      <c r="F299" s="35">
        <f>IF(PSI!F20=0," ",PSI!F20)</f>
        <v>28</v>
      </c>
      <c r="G299" s="18"/>
    </row>
    <row r="300" spans="1:7" ht="17.100000000000001" customHeight="1">
      <c r="A300" s="271"/>
      <c r="B300" s="34" t="s">
        <v>55</v>
      </c>
      <c r="C300" s="35">
        <f>IF('REL.'!C20=0," ",'REL.'!C20)</f>
        <v>74.583333333333343</v>
      </c>
      <c r="D300" s="35" t="str">
        <f>IF('REL.'!D20=0," ",'REL.'!D20)</f>
        <v xml:space="preserve"> </v>
      </c>
      <c r="E300" s="35" t="str">
        <f>IF('REL.'!E20=0," ",'REL.'!E20)</f>
        <v xml:space="preserve"> </v>
      </c>
      <c r="F300" s="35">
        <f>IF('REL.'!F20=0," ",'REL.'!F20)</f>
        <v>25</v>
      </c>
      <c r="G300" s="18"/>
    </row>
    <row r="301" spans="1:7" ht="15.95" customHeight="1">
      <c r="A301" s="143"/>
      <c r="B301" s="144"/>
      <c r="C301" s="38"/>
      <c r="D301" s="38"/>
      <c r="E301" s="38"/>
      <c r="F301" s="38"/>
      <c r="G301" s="18"/>
    </row>
    <row r="302" spans="1:7" ht="15.95" customHeight="1">
      <c r="A302" s="143"/>
      <c r="B302" s="144"/>
      <c r="C302" s="38"/>
      <c r="D302" s="38"/>
      <c r="E302" s="38"/>
      <c r="F302" s="38"/>
      <c r="G302" s="18"/>
    </row>
    <row r="303" spans="1:7" ht="21" customHeight="1">
      <c r="A303" s="143"/>
      <c r="B303" s="144"/>
      <c r="C303" s="38"/>
      <c r="D303" s="38"/>
      <c r="E303" s="38"/>
      <c r="F303" s="38"/>
      <c r="G303" s="18"/>
    </row>
    <row r="304" spans="1:7" ht="17.25" customHeight="1">
      <c r="A304" s="18"/>
      <c r="B304" s="18"/>
      <c r="C304" s="278" t="s">
        <v>42</v>
      </c>
      <c r="D304" s="278"/>
      <c r="E304" s="278"/>
      <c r="F304" s="18"/>
      <c r="G304" s="18"/>
    </row>
    <row r="305" spans="1:9" ht="15.95" customHeight="1">
      <c r="A305" s="270" t="str">
        <f t="shared" ref="A305" si="14">$A$3</f>
        <v>U. E. ABAROA B</v>
      </c>
      <c r="B305" s="270"/>
      <c r="C305" s="18"/>
      <c r="D305" s="18"/>
      <c r="E305" s="18"/>
      <c r="F305" s="182" t="str">
        <f>NOMINA!$D$2</f>
        <v>GESTION: 2026</v>
      </c>
      <c r="G305" s="18"/>
    </row>
    <row r="306" spans="1:9" s="14" customFormat="1" ht="21.95" customHeight="1">
      <c r="A306" s="273" t="str">
        <f>NOMINA!$B$2</f>
        <v>CURSO 2A</v>
      </c>
      <c r="B306" s="274"/>
      <c r="C306" s="280" t="str">
        <f>NOMINA!B21</f>
        <v>GUAQUIPA BECERRA NICOLAS ALEX</v>
      </c>
      <c r="D306" s="281"/>
      <c r="E306" s="281"/>
      <c r="F306" s="281"/>
      <c r="G306" s="49"/>
    </row>
    <row r="307" spans="1:9" ht="15.95" customHeight="1">
      <c r="A307" s="279">
        <f>NOMINA!A21</f>
        <v>16</v>
      </c>
      <c r="B307" s="52"/>
      <c r="C307" s="43" t="s">
        <v>5</v>
      </c>
      <c r="D307" s="271" t="s">
        <v>9</v>
      </c>
      <c r="E307" s="271"/>
      <c r="F307" s="179" t="s">
        <v>7</v>
      </c>
      <c r="G307" s="18"/>
    </row>
    <row r="308" spans="1:9" ht="15.95" customHeight="1">
      <c r="A308" s="279"/>
      <c r="B308" s="53"/>
      <c r="C308" s="178">
        <f>NOMINA!C21</f>
        <v>0</v>
      </c>
      <c r="D308" s="284">
        <f>NOMINA!D21</f>
        <v>0</v>
      </c>
      <c r="E308" s="284"/>
      <c r="F308" s="181">
        <f>NOMINA!F21</f>
        <v>0</v>
      </c>
      <c r="G308" s="18"/>
    </row>
    <row r="309" spans="1:9" s="16" customFormat="1" ht="15.95" customHeight="1">
      <c r="A309" s="275" t="s">
        <v>35</v>
      </c>
      <c r="B309" s="282" t="s">
        <v>37</v>
      </c>
      <c r="C309" s="30" t="s">
        <v>84</v>
      </c>
      <c r="D309" s="30" t="s">
        <v>82</v>
      </c>
      <c r="E309" s="30" t="s">
        <v>83</v>
      </c>
      <c r="F309" s="180" t="s">
        <v>38</v>
      </c>
      <c r="G309" s="31"/>
      <c r="I309" s="17"/>
    </row>
    <row r="310" spans="1:9" s="16" customFormat="1" ht="15.95" customHeight="1">
      <c r="A310" s="276"/>
      <c r="B310" s="283"/>
      <c r="C310" s="32" t="s">
        <v>33</v>
      </c>
      <c r="D310" s="32" t="s">
        <v>33</v>
      </c>
      <c r="E310" s="32" t="s">
        <v>33</v>
      </c>
      <c r="F310" s="46" t="s">
        <v>33</v>
      </c>
      <c r="G310" s="31"/>
    </row>
    <row r="311" spans="1:9" ht="17.100000000000001" customHeight="1">
      <c r="A311" s="271" t="s">
        <v>45</v>
      </c>
      <c r="B311" s="34" t="s">
        <v>36</v>
      </c>
      <c r="C311" s="35">
        <f>IF(LEN!C21=0," ",LEN!C21)</f>
        <v>79</v>
      </c>
      <c r="D311" s="35" t="str">
        <f>IF(LEN!D21=0," ",LEN!D21)</f>
        <v xml:space="preserve"> </v>
      </c>
      <c r="E311" s="35" t="str">
        <f>IF(LEN!E21=0," ",LEN!E21)</f>
        <v xml:space="preserve"> </v>
      </c>
      <c r="F311" s="35">
        <f>IF(LEN!F21=0," ",LEN!F21)</f>
        <v>26</v>
      </c>
      <c r="G311" s="18"/>
    </row>
    <row r="312" spans="1:9" ht="17.100000000000001" customHeight="1">
      <c r="A312" s="271"/>
      <c r="B312" s="34" t="s">
        <v>10</v>
      </c>
      <c r="C312" s="35">
        <f>IF(ING!C21=0," ",ING!C21)</f>
        <v>83</v>
      </c>
      <c r="D312" s="35" t="str">
        <f>IF(ING!D21=0," ",ING!D21)</f>
        <v xml:space="preserve"> </v>
      </c>
      <c r="E312" s="35" t="str">
        <f>IF(ING!E21=0," ",ING!E21)</f>
        <v xml:space="preserve"> </v>
      </c>
      <c r="F312" s="35">
        <f>IF(ING!F21=0," ",ING!F21)</f>
        <v>28</v>
      </c>
      <c r="G312" s="18"/>
    </row>
    <row r="313" spans="1:9" ht="17.100000000000001" customHeight="1">
      <c r="A313" s="271"/>
      <c r="B313" s="34" t="s">
        <v>61</v>
      </c>
      <c r="C313" s="35">
        <f>IF('C.SOC'!C21=0," ",'C.SOC'!C21)</f>
        <v>66</v>
      </c>
      <c r="D313" s="35" t="str">
        <f>IF('C.SOC'!D21=0," ",'C.SOC'!D21)</f>
        <v xml:space="preserve"> </v>
      </c>
      <c r="E313" s="35" t="str">
        <f>IF('C.SOC'!E21=0," ",'C.SOC'!E21)</f>
        <v xml:space="preserve"> </v>
      </c>
      <c r="F313" s="35">
        <f>IF('C.SOC'!F21=0," ",'C.SOC'!F21)</f>
        <v>22</v>
      </c>
      <c r="G313" s="18"/>
    </row>
    <row r="314" spans="1:9" ht="17.100000000000001" customHeight="1">
      <c r="A314" s="271"/>
      <c r="B314" s="34" t="s">
        <v>43</v>
      </c>
      <c r="C314" s="35">
        <f>IF('E. FIS.'!C21=0," ",'E. FIS.'!C21)</f>
        <v>83</v>
      </c>
      <c r="D314" s="35" t="str">
        <f>IF('E. FIS.'!D21=0," ",'E. FIS.'!D21)</f>
        <v xml:space="preserve"> </v>
      </c>
      <c r="E314" s="35" t="str">
        <f>IF('E. FIS.'!E21=0," ",'E. FIS.'!E21)</f>
        <v xml:space="preserve"> </v>
      </c>
      <c r="F314" s="35">
        <f>IF('E. FIS.'!F21=0," ",'E. FIS.'!F21)</f>
        <v>28</v>
      </c>
      <c r="G314" s="18"/>
    </row>
    <row r="315" spans="1:9" ht="17.100000000000001" customHeight="1">
      <c r="A315" s="271"/>
      <c r="B315" s="34" t="s">
        <v>44</v>
      </c>
      <c r="C315" s="35">
        <f>IF(MUS.!C21=0," ",MUS.!C21)</f>
        <v>89</v>
      </c>
      <c r="D315" s="35" t="str">
        <f>IF(MUS.!D21=0," ",MUS.!D21)</f>
        <v xml:space="preserve"> </v>
      </c>
      <c r="E315" s="35" t="str">
        <f>IF(MUS.!E21=0," ",MUS.!E21)</f>
        <v xml:space="preserve"> </v>
      </c>
      <c r="F315" s="35">
        <f>IF(MUS.!F21=0," ",MUS.!F21)</f>
        <v>30</v>
      </c>
      <c r="G315" s="18"/>
    </row>
    <row r="316" spans="1:9" ht="17.100000000000001" customHeight="1">
      <c r="A316" s="271"/>
      <c r="B316" s="34" t="s">
        <v>11</v>
      </c>
      <c r="C316" s="35">
        <f>IF('A.PL. '!C21=0," ",'A.PL. '!C21)</f>
        <v>70</v>
      </c>
      <c r="D316" s="35" t="str">
        <f>IF('A.PL. '!D21=0," ",'A.PL. '!D21)</f>
        <v xml:space="preserve"> </v>
      </c>
      <c r="E316" s="35" t="str">
        <f>IF('A.PL. '!E21=0," ",'A.PL. '!E21)</f>
        <v xml:space="preserve"> </v>
      </c>
      <c r="F316" s="35">
        <f>IF('A.PL. '!F21=0," ",'A.PL. '!F21)</f>
        <v>23</v>
      </c>
      <c r="G316" s="18"/>
    </row>
    <row r="317" spans="1:9" ht="17.100000000000001" customHeight="1">
      <c r="A317" s="272" t="s">
        <v>64</v>
      </c>
      <c r="B317" s="34" t="s">
        <v>62</v>
      </c>
      <c r="C317" s="35">
        <f>IF(MAT!C21=0," ",MAT!C21)</f>
        <v>83</v>
      </c>
      <c r="D317" s="35" t="str">
        <f>IF(MAT!D21=0," ",MAT!D21)</f>
        <v xml:space="preserve"> </v>
      </c>
      <c r="E317" s="35" t="str">
        <f>IF(MAT!E21=0," ",MAT!E21)</f>
        <v xml:space="preserve"> </v>
      </c>
      <c r="F317" s="35">
        <f>IF(MAT!F21=0," ",MAT!F21)</f>
        <v>28</v>
      </c>
      <c r="G317" s="18"/>
    </row>
    <row r="318" spans="1:9" ht="17.100000000000001" customHeight="1">
      <c r="A318" s="272"/>
      <c r="B318" s="34" t="s">
        <v>101</v>
      </c>
      <c r="C318" s="35">
        <f>IF('T. TEC. GRAL'!C21=0," ",'T. TEC. GRAL'!C21)</f>
        <v>71</v>
      </c>
      <c r="D318" s="35" t="str">
        <f>IF('T. TEC. GRAL'!D21=0," ",'T. TEC. GRAL'!D21)</f>
        <v xml:space="preserve"> </v>
      </c>
      <c r="E318" s="35" t="str">
        <f>IF('T. TEC. GRAL'!E21=0," ",'T. TEC. GRAL'!E21)</f>
        <v xml:space="preserve"> </v>
      </c>
      <c r="F318" s="35">
        <f>IF('T. TEC. GRAL'!F21=0," ",'T. TEC. GRAL'!F21)</f>
        <v>24</v>
      </c>
      <c r="G318" s="18"/>
    </row>
    <row r="319" spans="1:9" ht="24" customHeight="1">
      <c r="A319" s="142" t="s">
        <v>79</v>
      </c>
      <c r="B319" s="34" t="s">
        <v>63</v>
      </c>
      <c r="C319" s="35">
        <f>IF('BIO-GEO'!C21=0," ",'BIO-GEO'!C21)</f>
        <v>85</v>
      </c>
      <c r="D319" s="35" t="str">
        <f>IF('BIO-GEO'!D21=0," ",'BIO-GEO'!D21)</f>
        <v xml:space="preserve"> </v>
      </c>
      <c r="E319" s="35" t="str">
        <f>IF('BIO-GEO'!E21=0," ",'BIO-GEO'!E21)</f>
        <v xml:space="preserve"> </v>
      </c>
      <c r="F319" s="35">
        <f>IF('BIO-GEO'!F21=0," ",'BIO-GEO'!F21)</f>
        <v>28</v>
      </c>
      <c r="G319" s="18"/>
    </row>
    <row r="320" spans="1:9" ht="17.100000000000001" customHeight="1">
      <c r="A320" s="271" t="s">
        <v>39</v>
      </c>
      <c r="B320" s="34" t="s">
        <v>54</v>
      </c>
      <c r="C320" s="35">
        <f>IF(PSI!C21=0," ",PSI!C21)</f>
        <v>82</v>
      </c>
      <c r="D320" s="35" t="str">
        <f>IF(PSI!D21=0," ",PSI!D21)</f>
        <v xml:space="preserve"> </v>
      </c>
      <c r="E320" s="35" t="str">
        <f>IF(PSI!E21=0," ",PSI!E21)</f>
        <v xml:space="preserve"> </v>
      </c>
      <c r="F320" s="35">
        <f>IF(PSI!F21=0," ",PSI!F21)</f>
        <v>27</v>
      </c>
      <c r="G320" s="18"/>
    </row>
    <row r="321" spans="1:9" ht="17.100000000000001" customHeight="1">
      <c r="A321" s="271"/>
      <c r="B321" s="34" t="s">
        <v>55</v>
      </c>
      <c r="C321" s="35">
        <f>IF('REL.'!C21=0," ",'REL.'!C21)</f>
        <v>79.666666666666657</v>
      </c>
      <c r="D321" s="35" t="str">
        <f>IF('REL.'!D21=0," ",'REL.'!D21)</f>
        <v xml:space="preserve"> </v>
      </c>
      <c r="E321" s="35" t="str">
        <f>IF('REL.'!E21=0," ",'REL.'!E21)</f>
        <v xml:space="preserve"> </v>
      </c>
      <c r="F321" s="35">
        <f>IF('REL.'!F21=0," ",'REL.'!F21)</f>
        <v>27</v>
      </c>
      <c r="G321" s="18"/>
    </row>
    <row r="322" spans="1:9" ht="15.95" customHeight="1">
      <c r="A322" s="143"/>
      <c r="B322" s="144"/>
      <c r="C322" s="38"/>
      <c r="D322" s="38"/>
      <c r="E322" s="38"/>
      <c r="F322" s="38"/>
      <c r="G322" s="18"/>
    </row>
    <row r="323" spans="1:9" ht="17.25" customHeight="1">
      <c r="A323" s="18"/>
      <c r="B323" s="18"/>
      <c r="C323" s="278" t="s">
        <v>42</v>
      </c>
      <c r="D323" s="278"/>
      <c r="E323" s="278"/>
      <c r="F323" s="18"/>
      <c r="G323" s="18"/>
    </row>
    <row r="324" spans="1:9" ht="15.95" customHeight="1">
      <c r="A324" s="270" t="str">
        <f t="shared" ref="A324" si="15">$A$3</f>
        <v>U. E. ABAROA B</v>
      </c>
      <c r="B324" s="270"/>
      <c r="C324" s="18"/>
      <c r="D324" s="18"/>
      <c r="E324" s="18"/>
      <c r="F324" s="182" t="str">
        <f>NOMINA!$D$2</f>
        <v>GESTION: 2026</v>
      </c>
      <c r="G324" s="18"/>
    </row>
    <row r="325" spans="1:9" s="14" customFormat="1" ht="21.95" customHeight="1">
      <c r="A325" s="273" t="str">
        <f>NOMINA!$B$2</f>
        <v>CURSO 2A</v>
      </c>
      <c r="B325" s="274"/>
      <c r="C325" s="280" t="str">
        <f>NOMINA!B22</f>
        <v>HUANQUIRI MAMANI JHOSMAR</v>
      </c>
      <c r="D325" s="281"/>
      <c r="E325" s="281"/>
      <c r="F325" s="281"/>
      <c r="G325" s="49"/>
    </row>
    <row r="326" spans="1:9" ht="15.95" customHeight="1">
      <c r="A326" s="279">
        <f>NOMINA!A22</f>
        <v>17</v>
      </c>
      <c r="B326" s="52"/>
      <c r="C326" s="43" t="s">
        <v>5</v>
      </c>
      <c r="D326" s="271" t="s">
        <v>9</v>
      </c>
      <c r="E326" s="271"/>
      <c r="F326" s="179" t="s">
        <v>7</v>
      </c>
      <c r="G326" s="18"/>
    </row>
    <row r="327" spans="1:9" ht="15.95" customHeight="1">
      <c r="A327" s="279"/>
      <c r="B327" s="53"/>
      <c r="C327" s="178">
        <f>NOMINA!C22</f>
        <v>0</v>
      </c>
      <c r="D327" s="284">
        <f>NOMINA!D22</f>
        <v>0</v>
      </c>
      <c r="E327" s="284"/>
      <c r="F327" s="181">
        <f>NOMINA!F22</f>
        <v>0</v>
      </c>
      <c r="G327" s="18"/>
    </row>
    <row r="328" spans="1:9" s="16" customFormat="1" ht="15.95" customHeight="1">
      <c r="A328" s="275" t="s">
        <v>35</v>
      </c>
      <c r="B328" s="282" t="s">
        <v>37</v>
      </c>
      <c r="C328" s="30" t="s">
        <v>84</v>
      </c>
      <c r="D328" s="30" t="s">
        <v>82</v>
      </c>
      <c r="E328" s="30" t="s">
        <v>83</v>
      </c>
      <c r="F328" s="180" t="s">
        <v>38</v>
      </c>
      <c r="G328" s="31"/>
      <c r="I328" s="17"/>
    </row>
    <row r="329" spans="1:9" s="16" customFormat="1" ht="15.95" customHeight="1">
      <c r="A329" s="276"/>
      <c r="B329" s="283"/>
      <c r="C329" s="32" t="s">
        <v>33</v>
      </c>
      <c r="D329" s="32" t="s">
        <v>33</v>
      </c>
      <c r="E329" s="32" t="s">
        <v>33</v>
      </c>
      <c r="F329" s="46" t="s">
        <v>33</v>
      </c>
      <c r="G329" s="31"/>
    </row>
    <row r="330" spans="1:9" ht="17.100000000000001" customHeight="1">
      <c r="A330" s="271" t="s">
        <v>45</v>
      </c>
      <c r="B330" s="34" t="s">
        <v>36</v>
      </c>
      <c r="C330" s="35">
        <f>IF(LEN!C22=0," ",LEN!C22)</f>
        <v>43</v>
      </c>
      <c r="D330" s="35" t="str">
        <f>IF(LEN!D22=0," ",LEN!D22)</f>
        <v xml:space="preserve"> </v>
      </c>
      <c r="E330" s="35" t="str">
        <f>IF(LEN!E22=0," ",LEN!E22)</f>
        <v xml:space="preserve"> </v>
      </c>
      <c r="F330" s="35">
        <f>IF(LEN!F22=0," ",LEN!F22)</f>
        <v>14</v>
      </c>
      <c r="G330" s="18"/>
    </row>
    <row r="331" spans="1:9" ht="17.100000000000001" customHeight="1">
      <c r="A331" s="271"/>
      <c r="B331" s="34" t="s">
        <v>10</v>
      </c>
      <c r="C331" s="35">
        <f>IF(ING!C22=0," ",ING!C22)</f>
        <v>41</v>
      </c>
      <c r="D331" s="35" t="str">
        <f>IF(ING!D22=0," ",ING!D22)</f>
        <v xml:space="preserve"> </v>
      </c>
      <c r="E331" s="35" t="str">
        <f>IF(ING!E22=0," ",ING!E22)</f>
        <v xml:space="preserve"> </v>
      </c>
      <c r="F331" s="35">
        <f>IF(ING!F22=0," ",ING!F22)</f>
        <v>14</v>
      </c>
      <c r="G331" s="18"/>
    </row>
    <row r="332" spans="1:9" ht="17.100000000000001" customHeight="1">
      <c r="A332" s="271"/>
      <c r="B332" s="34" t="s">
        <v>61</v>
      </c>
      <c r="C332" s="35">
        <f>IF('C.SOC'!C22=0," ",'C.SOC'!C22)</f>
        <v>35</v>
      </c>
      <c r="D332" s="35" t="str">
        <f>IF('C.SOC'!D22=0," ",'C.SOC'!D22)</f>
        <v xml:space="preserve"> </v>
      </c>
      <c r="E332" s="35" t="str">
        <f>IF('C.SOC'!E22=0," ",'C.SOC'!E22)</f>
        <v xml:space="preserve"> </v>
      </c>
      <c r="F332" s="35">
        <f>IF('C.SOC'!F22=0," ",'C.SOC'!F22)</f>
        <v>12</v>
      </c>
      <c r="G332" s="18"/>
    </row>
    <row r="333" spans="1:9" ht="17.100000000000001" customHeight="1">
      <c r="A333" s="271"/>
      <c r="B333" s="34" t="s">
        <v>43</v>
      </c>
      <c r="C333" s="35">
        <f>IF('E. FIS.'!C22=0," ",'E. FIS.'!C22)</f>
        <v>70</v>
      </c>
      <c r="D333" s="35" t="str">
        <f>IF('E. FIS.'!D22=0," ",'E. FIS.'!D22)</f>
        <v xml:space="preserve"> </v>
      </c>
      <c r="E333" s="35" t="str">
        <f>IF('E. FIS.'!E22=0," ",'E. FIS.'!E22)</f>
        <v xml:space="preserve"> </v>
      </c>
      <c r="F333" s="35">
        <f>IF('E. FIS.'!F22=0," ",'E. FIS.'!F22)</f>
        <v>23</v>
      </c>
      <c r="G333" s="18"/>
    </row>
    <row r="334" spans="1:9" ht="17.100000000000001" customHeight="1">
      <c r="A334" s="271"/>
      <c r="B334" s="34" t="s">
        <v>44</v>
      </c>
      <c r="C334" s="35">
        <f>IF(MUS.!C22=0," ",MUS.!C22)</f>
        <v>54</v>
      </c>
      <c r="D334" s="35" t="str">
        <f>IF(MUS.!D22=0," ",MUS.!D22)</f>
        <v xml:space="preserve"> </v>
      </c>
      <c r="E334" s="35" t="str">
        <f>IF(MUS.!E22=0," ",MUS.!E22)</f>
        <v xml:space="preserve"> </v>
      </c>
      <c r="F334" s="35">
        <f>IF(MUS.!F22=0," ",MUS.!F22)</f>
        <v>18</v>
      </c>
      <c r="G334" s="18"/>
    </row>
    <row r="335" spans="1:9" ht="17.100000000000001" customHeight="1">
      <c r="A335" s="271"/>
      <c r="B335" s="34" t="s">
        <v>11</v>
      </c>
      <c r="C335" s="35">
        <f>IF('A.PL. '!C22=0," ",'A.PL. '!C22)</f>
        <v>55</v>
      </c>
      <c r="D335" s="35" t="str">
        <f>IF('A.PL. '!D22=0," ",'A.PL. '!D22)</f>
        <v xml:space="preserve"> </v>
      </c>
      <c r="E335" s="35" t="str">
        <f>IF('A.PL. '!E22=0," ",'A.PL. '!E22)</f>
        <v xml:space="preserve"> </v>
      </c>
      <c r="F335" s="35">
        <f>IF('A.PL. '!F22=0," ",'A.PL. '!F22)</f>
        <v>18</v>
      </c>
      <c r="G335" s="18"/>
    </row>
    <row r="336" spans="1:9" ht="17.100000000000001" customHeight="1">
      <c r="A336" s="272" t="s">
        <v>64</v>
      </c>
      <c r="B336" s="34" t="s">
        <v>62</v>
      </c>
      <c r="C336" s="35">
        <f>IF(MAT!C22=0," ",MAT!C22)</f>
        <v>52</v>
      </c>
      <c r="D336" s="35" t="str">
        <f>IF(MAT!D22=0," ",MAT!D22)</f>
        <v xml:space="preserve"> </v>
      </c>
      <c r="E336" s="35" t="str">
        <f>IF(MAT!E22=0," ",MAT!E22)</f>
        <v xml:space="preserve"> </v>
      </c>
      <c r="F336" s="35">
        <f>IF(MAT!F22=0," ",MAT!F22)</f>
        <v>17</v>
      </c>
      <c r="G336" s="18"/>
    </row>
    <row r="337" spans="1:9" ht="17.100000000000001" customHeight="1">
      <c r="A337" s="272"/>
      <c r="B337" s="34" t="s">
        <v>101</v>
      </c>
      <c r="C337" s="35">
        <f>IF('T. TEC. GRAL'!C22=0," ",'T. TEC. GRAL'!C22)</f>
        <v>47</v>
      </c>
      <c r="D337" s="35" t="str">
        <f>IF('T. TEC. GRAL'!D22=0," ",'T. TEC. GRAL'!D22)</f>
        <v xml:space="preserve"> </v>
      </c>
      <c r="E337" s="35" t="str">
        <f>IF('T. TEC. GRAL'!E22=0," ",'T. TEC. GRAL'!E22)</f>
        <v xml:space="preserve"> </v>
      </c>
      <c r="F337" s="35">
        <f>IF('T. TEC. GRAL'!F22=0," ",'T. TEC. GRAL'!F22)</f>
        <v>16</v>
      </c>
      <c r="G337" s="18"/>
    </row>
    <row r="338" spans="1:9" ht="24" customHeight="1">
      <c r="A338" s="142" t="s">
        <v>79</v>
      </c>
      <c r="B338" s="34" t="s">
        <v>63</v>
      </c>
      <c r="C338" s="35">
        <f>IF('BIO-GEO'!C22=0," ",'BIO-GEO'!C22)</f>
        <v>35</v>
      </c>
      <c r="D338" s="35" t="str">
        <f>IF('BIO-GEO'!D22=0," ",'BIO-GEO'!D22)</f>
        <v xml:space="preserve"> </v>
      </c>
      <c r="E338" s="35" t="str">
        <f>IF('BIO-GEO'!E22=0," ",'BIO-GEO'!E22)</f>
        <v xml:space="preserve"> </v>
      </c>
      <c r="F338" s="35">
        <f>IF('BIO-GEO'!F22=0," ",'BIO-GEO'!F22)</f>
        <v>12</v>
      </c>
      <c r="G338" s="18"/>
    </row>
    <row r="339" spans="1:9" ht="17.100000000000001" customHeight="1">
      <c r="A339" s="271" t="s">
        <v>39</v>
      </c>
      <c r="B339" s="34" t="s">
        <v>54</v>
      </c>
      <c r="C339" s="35">
        <f>IF(PSI!C22=0," ",PSI!C22)</f>
        <v>49</v>
      </c>
      <c r="D339" s="35" t="str">
        <f>IF(PSI!D22=0," ",PSI!D22)</f>
        <v xml:space="preserve"> </v>
      </c>
      <c r="E339" s="35" t="str">
        <f>IF(PSI!E22=0," ",PSI!E22)</f>
        <v xml:space="preserve"> </v>
      </c>
      <c r="F339" s="35">
        <f>IF(PSI!F22=0," ",PSI!F22)</f>
        <v>16</v>
      </c>
      <c r="G339" s="18"/>
    </row>
    <row r="340" spans="1:9" ht="17.100000000000001" customHeight="1">
      <c r="A340" s="271"/>
      <c r="B340" s="34" t="s">
        <v>55</v>
      </c>
      <c r="C340" s="35">
        <f>IF('REL.'!C22=0," ",'REL.'!C22)</f>
        <v>68.416666666666671</v>
      </c>
      <c r="D340" s="35" t="str">
        <f>IF('REL.'!D22=0," ",'REL.'!D22)</f>
        <v xml:space="preserve"> </v>
      </c>
      <c r="E340" s="35" t="str">
        <f>IF('REL.'!E22=0," ",'REL.'!E22)</f>
        <v xml:space="preserve"> </v>
      </c>
      <c r="F340" s="35">
        <f>IF('REL.'!F22=0," ",'REL.'!F22)</f>
        <v>23</v>
      </c>
      <c r="G340" s="18"/>
    </row>
    <row r="341" spans="1:9" ht="15.95" customHeight="1">
      <c r="A341" s="143"/>
      <c r="B341" s="144"/>
      <c r="C341" s="38"/>
      <c r="D341" s="38"/>
      <c r="E341" s="38"/>
      <c r="F341" s="38"/>
      <c r="G341" s="18"/>
    </row>
    <row r="342" spans="1:9" ht="15.95" customHeight="1">
      <c r="A342" s="143"/>
      <c r="B342" s="144"/>
      <c r="C342" s="38"/>
      <c r="D342" s="38"/>
      <c r="E342" s="38"/>
      <c r="F342" s="38"/>
      <c r="G342" s="18"/>
    </row>
    <row r="343" spans="1:9" ht="21.75" customHeight="1">
      <c r="A343" s="143"/>
      <c r="B343" s="144"/>
      <c r="C343" s="38"/>
      <c r="D343" s="38"/>
      <c r="E343" s="38"/>
      <c r="F343" s="38"/>
      <c r="G343" s="18"/>
    </row>
    <row r="344" spans="1:9" ht="17.25" customHeight="1">
      <c r="A344" s="18"/>
      <c r="B344" s="18"/>
      <c r="C344" s="278" t="s">
        <v>42</v>
      </c>
      <c r="D344" s="278"/>
      <c r="E344" s="278"/>
      <c r="F344" s="18"/>
      <c r="G344" s="18"/>
    </row>
    <row r="345" spans="1:9" ht="15.95" customHeight="1">
      <c r="A345" s="270" t="str">
        <f t="shared" ref="A345" si="16">$A$3</f>
        <v>U. E. ABAROA B</v>
      </c>
      <c r="B345" s="270"/>
      <c r="C345" s="18"/>
      <c r="D345" s="18"/>
      <c r="E345" s="18"/>
      <c r="F345" s="182" t="str">
        <f>NOMINA!$D$2</f>
        <v>GESTION: 2026</v>
      </c>
      <c r="G345" s="18"/>
    </row>
    <row r="346" spans="1:9" s="14" customFormat="1" ht="21.95" customHeight="1">
      <c r="A346" s="273" t="str">
        <f>NOMINA!$B$2</f>
        <v>CURSO 2A</v>
      </c>
      <c r="B346" s="274"/>
      <c r="C346" s="280" t="str">
        <f>NOMINA!B23</f>
        <v>JOVE ARNEZ ANDREA LUCIANA</v>
      </c>
      <c r="D346" s="281"/>
      <c r="E346" s="281"/>
      <c r="F346" s="281"/>
      <c r="G346" s="49"/>
    </row>
    <row r="347" spans="1:9" ht="15.95" customHeight="1">
      <c r="A347" s="279">
        <f>NOMINA!A23</f>
        <v>18</v>
      </c>
      <c r="B347" s="52"/>
      <c r="C347" s="43" t="s">
        <v>5</v>
      </c>
      <c r="D347" s="271" t="s">
        <v>9</v>
      </c>
      <c r="E347" s="271"/>
      <c r="F347" s="179" t="s">
        <v>7</v>
      </c>
      <c r="G347" s="18"/>
    </row>
    <row r="348" spans="1:9" ht="15.95" customHeight="1">
      <c r="A348" s="279"/>
      <c r="B348" s="53"/>
      <c r="C348" s="178">
        <f>NOMINA!C23</f>
        <v>0</v>
      </c>
      <c r="D348" s="284">
        <f>NOMINA!D23</f>
        <v>0</v>
      </c>
      <c r="E348" s="284"/>
      <c r="F348" s="181">
        <f>NOMINA!F23</f>
        <v>0</v>
      </c>
      <c r="G348" s="18"/>
    </row>
    <row r="349" spans="1:9" s="16" customFormat="1" ht="15.95" customHeight="1">
      <c r="A349" s="275" t="s">
        <v>35</v>
      </c>
      <c r="B349" s="282" t="s">
        <v>37</v>
      </c>
      <c r="C349" s="30" t="s">
        <v>84</v>
      </c>
      <c r="D349" s="30" t="s">
        <v>82</v>
      </c>
      <c r="E349" s="30" t="s">
        <v>83</v>
      </c>
      <c r="F349" s="180" t="s">
        <v>38</v>
      </c>
      <c r="G349" s="31"/>
      <c r="I349" s="17"/>
    </row>
    <row r="350" spans="1:9" s="16" customFormat="1" ht="15.95" customHeight="1">
      <c r="A350" s="276"/>
      <c r="B350" s="283"/>
      <c r="C350" s="32" t="s">
        <v>33</v>
      </c>
      <c r="D350" s="32" t="s">
        <v>33</v>
      </c>
      <c r="E350" s="32" t="s">
        <v>33</v>
      </c>
      <c r="F350" s="46" t="s">
        <v>33</v>
      </c>
      <c r="G350" s="31"/>
    </row>
    <row r="351" spans="1:9" ht="17.100000000000001" customHeight="1">
      <c r="A351" s="271" t="s">
        <v>45</v>
      </c>
      <c r="B351" s="34" t="s">
        <v>36</v>
      </c>
      <c r="C351" s="35">
        <f>IF(LEN!C23=0," ",LEN!C23)</f>
        <v>52</v>
      </c>
      <c r="D351" s="35" t="str">
        <f>IF(LEN!D23=0," ",LEN!D23)</f>
        <v xml:space="preserve"> </v>
      </c>
      <c r="E351" s="35" t="str">
        <f>IF(LEN!E23=0," ",LEN!E23)</f>
        <v xml:space="preserve"> </v>
      </c>
      <c r="F351" s="35">
        <f>IF(LEN!F23=0," ",LEN!F23)</f>
        <v>17</v>
      </c>
      <c r="G351" s="18"/>
    </row>
    <row r="352" spans="1:9" ht="17.100000000000001" customHeight="1">
      <c r="A352" s="271"/>
      <c r="B352" s="34" t="s">
        <v>10</v>
      </c>
      <c r="C352" s="35">
        <f>IF(ING!C23=0," ",ING!C23)</f>
        <v>41</v>
      </c>
      <c r="D352" s="35" t="str">
        <f>IF(ING!D23=0," ",ING!D23)</f>
        <v xml:space="preserve"> </v>
      </c>
      <c r="E352" s="35" t="str">
        <f>IF(ING!E23=0," ",ING!E23)</f>
        <v xml:space="preserve"> </v>
      </c>
      <c r="F352" s="35">
        <f>IF(ING!F23=0," ",ING!F23)</f>
        <v>14</v>
      </c>
      <c r="G352" s="18"/>
    </row>
    <row r="353" spans="1:9" ht="17.100000000000001" customHeight="1">
      <c r="A353" s="271"/>
      <c r="B353" s="34" t="s">
        <v>61</v>
      </c>
      <c r="C353" s="35">
        <f>IF('C.SOC'!C23=0," ",'C.SOC'!C23)</f>
        <v>68</v>
      </c>
      <c r="D353" s="35" t="str">
        <f>IF('C.SOC'!D23=0," ",'C.SOC'!D23)</f>
        <v xml:space="preserve"> </v>
      </c>
      <c r="E353" s="35" t="str">
        <f>IF('C.SOC'!E23=0," ",'C.SOC'!E23)</f>
        <v xml:space="preserve"> </v>
      </c>
      <c r="F353" s="35">
        <f>IF('C.SOC'!F23=0," ",'C.SOC'!F23)</f>
        <v>23</v>
      </c>
      <c r="G353" s="18"/>
    </row>
    <row r="354" spans="1:9" ht="17.100000000000001" customHeight="1">
      <c r="A354" s="271"/>
      <c r="B354" s="34" t="s">
        <v>43</v>
      </c>
      <c r="C354" s="35">
        <f>IF('E. FIS.'!C23=0," ",'E. FIS.'!C23)</f>
        <v>38</v>
      </c>
      <c r="D354" s="35" t="str">
        <f>IF('E. FIS.'!D23=0," ",'E. FIS.'!D23)</f>
        <v xml:space="preserve"> </v>
      </c>
      <c r="E354" s="35" t="str">
        <f>IF('E. FIS.'!E23=0," ",'E. FIS.'!E23)</f>
        <v xml:space="preserve"> </v>
      </c>
      <c r="F354" s="35">
        <f>IF('E. FIS.'!F23=0," ",'E. FIS.'!F23)</f>
        <v>13</v>
      </c>
      <c r="G354" s="18"/>
    </row>
    <row r="355" spans="1:9" ht="17.100000000000001" customHeight="1">
      <c r="A355" s="271"/>
      <c r="B355" s="34" t="s">
        <v>44</v>
      </c>
      <c r="C355" s="35">
        <f>IF(MUS.!C23=0," ",MUS.!C23)</f>
        <v>40</v>
      </c>
      <c r="D355" s="35" t="str">
        <f>IF(MUS.!D23=0," ",MUS.!D23)</f>
        <v xml:space="preserve"> </v>
      </c>
      <c r="E355" s="35" t="str">
        <f>IF(MUS.!E23=0," ",MUS.!E23)</f>
        <v xml:space="preserve"> </v>
      </c>
      <c r="F355" s="35">
        <f>IF(MUS.!F23=0," ",MUS.!F23)</f>
        <v>13</v>
      </c>
      <c r="G355" s="18"/>
    </row>
    <row r="356" spans="1:9" ht="17.100000000000001" customHeight="1">
      <c r="A356" s="271"/>
      <c r="B356" s="34" t="s">
        <v>11</v>
      </c>
      <c r="C356" s="35">
        <f>IF('A.PL. '!C23=0," ",'A.PL. '!C23)</f>
        <v>56</v>
      </c>
      <c r="D356" s="35" t="str">
        <f>IF('A.PL. '!D23=0," ",'A.PL. '!D23)</f>
        <v xml:space="preserve"> </v>
      </c>
      <c r="E356" s="35" t="str">
        <f>IF('A.PL. '!E23=0," ",'A.PL. '!E23)</f>
        <v xml:space="preserve"> </v>
      </c>
      <c r="F356" s="35">
        <f>IF('A.PL. '!F23=0," ",'A.PL. '!F23)</f>
        <v>19</v>
      </c>
      <c r="G356" s="18"/>
    </row>
    <row r="357" spans="1:9" ht="17.100000000000001" customHeight="1">
      <c r="A357" s="272" t="s">
        <v>64</v>
      </c>
      <c r="B357" s="34" t="s">
        <v>62</v>
      </c>
      <c r="C357" s="35">
        <f>IF(MAT!C23=0," ",MAT!C23)</f>
        <v>59</v>
      </c>
      <c r="D357" s="35" t="str">
        <f>IF(MAT!D23=0," ",MAT!D23)</f>
        <v xml:space="preserve"> </v>
      </c>
      <c r="E357" s="35" t="str">
        <f>IF(MAT!E23=0," ",MAT!E23)</f>
        <v xml:space="preserve"> </v>
      </c>
      <c r="F357" s="35">
        <f>IF(MAT!F23=0," ",MAT!F23)</f>
        <v>20</v>
      </c>
      <c r="G357" s="18"/>
    </row>
    <row r="358" spans="1:9" ht="17.100000000000001" customHeight="1">
      <c r="A358" s="272"/>
      <c r="B358" s="34" t="s">
        <v>101</v>
      </c>
      <c r="C358" s="35">
        <f>IF('T. TEC. GRAL'!C23=0," ",'T. TEC. GRAL'!C23)</f>
        <v>66</v>
      </c>
      <c r="D358" s="35" t="str">
        <f>IF('T. TEC. GRAL'!D23=0," ",'T. TEC. GRAL'!D23)</f>
        <v xml:space="preserve"> </v>
      </c>
      <c r="E358" s="35" t="str">
        <f>IF('T. TEC. GRAL'!E23=0," ",'T. TEC. GRAL'!E23)</f>
        <v xml:space="preserve"> </v>
      </c>
      <c r="F358" s="35">
        <f>IF('T. TEC. GRAL'!F23=0," ",'T. TEC. GRAL'!F23)</f>
        <v>22</v>
      </c>
      <c r="G358" s="18"/>
    </row>
    <row r="359" spans="1:9" ht="24" customHeight="1">
      <c r="A359" s="142" t="s">
        <v>79</v>
      </c>
      <c r="B359" s="34" t="s">
        <v>63</v>
      </c>
      <c r="C359" s="35">
        <f>IF('BIO-GEO'!C23=0," ",'BIO-GEO'!C23)</f>
        <v>51</v>
      </c>
      <c r="D359" s="35" t="str">
        <f>IF('BIO-GEO'!D23=0," ",'BIO-GEO'!D23)</f>
        <v xml:space="preserve"> </v>
      </c>
      <c r="E359" s="35" t="str">
        <f>IF('BIO-GEO'!E23=0," ",'BIO-GEO'!E23)</f>
        <v xml:space="preserve"> </v>
      </c>
      <c r="F359" s="35">
        <f>IF('BIO-GEO'!F23=0," ",'BIO-GEO'!F23)</f>
        <v>17</v>
      </c>
      <c r="G359" s="18"/>
    </row>
    <row r="360" spans="1:9" ht="17.100000000000001" customHeight="1">
      <c r="A360" s="271" t="s">
        <v>39</v>
      </c>
      <c r="B360" s="34" t="s">
        <v>54</v>
      </c>
      <c r="C360" s="35">
        <f>IF(PSI!C23=0," ",PSI!C23)</f>
        <v>80</v>
      </c>
      <c r="D360" s="35" t="str">
        <f>IF(PSI!D23=0," ",PSI!D23)</f>
        <v xml:space="preserve"> </v>
      </c>
      <c r="E360" s="35" t="str">
        <f>IF(PSI!E23=0," ",PSI!E23)</f>
        <v xml:space="preserve"> </v>
      </c>
      <c r="F360" s="35">
        <f>IF(PSI!F23=0," ",PSI!F23)</f>
        <v>27</v>
      </c>
      <c r="G360" s="18"/>
    </row>
    <row r="361" spans="1:9" ht="17.100000000000001" customHeight="1">
      <c r="A361" s="271"/>
      <c r="B361" s="34" t="s">
        <v>55</v>
      </c>
      <c r="C361" s="35">
        <f>IF('REL.'!C23=0," ",'REL.'!C23)</f>
        <v>54.166666666666671</v>
      </c>
      <c r="D361" s="35" t="str">
        <f>IF('REL.'!D23=0," ",'REL.'!D23)</f>
        <v xml:space="preserve"> </v>
      </c>
      <c r="E361" s="35" t="str">
        <f>IF('REL.'!E23=0," ",'REL.'!E23)</f>
        <v xml:space="preserve"> </v>
      </c>
      <c r="F361" s="35">
        <f>IF('REL.'!F23=0," ",'REL.'!F23)</f>
        <v>18</v>
      </c>
      <c r="G361" s="18"/>
    </row>
    <row r="362" spans="1:9" ht="15.95" customHeight="1">
      <c r="A362" s="143"/>
      <c r="B362" s="144"/>
      <c r="C362" s="38"/>
      <c r="D362" s="38"/>
      <c r="E362" s="38"/>
      <c r="F362" s="38"/>
      <c r="G362" s="18"/>
    </row>
    <row r="363" spans="1:9" ht="17.25" customHeight="1">
      <c r="A363" s="18"/>
      <c r="B363" s="18"/>
      <c r="C363" s="278" t="s">
        <v>42</v>
      </c>
      <c r="D363" s="278"/>
      <c r="E363" s="278"/>
      <c r="F363" s="18"/>
      <c r="G363" s="18"/>
    </row>
    <row r="364" spans="1:9" ht="15.95" customHeight="1">
      <c r="A364" s="270" t="str">
        <f t="shared" ref="A364" si="17">$A$3</f>
        <v>U. E. ABAROA B</v>
      </c>
      <c r="B364" s="270"/>
      <c r="C364" s="18"/>
      <c r="D364" s="18"/>
      <c r="E364" s="18"/>
      <c r="F364" s="182" t="str">
        <f>NOMINA!$D$2</f>
        <v>GESTION: 2026</v>
      </c>
      <c r="G364" s="18"/>
    </row>
    <row r="365" spans="1:9" s="14" customFormat="1" ht="21.95" customHeight="1">
      <c r="A365" s="273" t="str">
        <f>NOMINA!$B$2</f>
        <v>CURSO 2A</v>
      </c>
      <c r="B365" s="274"/>
      <c r="C365" s="280" t="str">
        <f>NOMINA!B24</f>
        <v>LAFUENTE ORTUÑO VICTORIA VALENTINA</v>
      </c>
      <c r="D365" s="281"/>
      <c r="E365" s="281"/>
      <c r="F365" s="281"/>
      <c r="G365" s="49"/>
    </row>
    <row r="366" spans="1:9" ht="15.95" customHeight="1">
      <c r="A366" s="279">
        <f>NOMINA!A24</f>
        <v>19</v>
      </c>
      <c r="B366" s="52"/>
      <c r="C366" s="43" t="s">
        <v>5</v>
      </c>
      <c r="D366" s="271" t="s">
        <v>9</v>
      </c>
      <c r="E366" s="271"/>
      <c r="F366" s="179" t="s">
        <v>7</v>
      </c>
      <c r="G366" s="18"/>
    </row>
    <row r="367" spans="1:9" ht="15.95" customHeight="1">
      <c r="A367" s="279"/>
      <c r="B367" s="53"/>
      <c r="C367" s="178">
        <f>NOMINA!C24</f>
        <v>0</v>
      </c>
      <c r="D367" s="284">
        <f>NOMINA!D24</f>
        <v>0</v>
      </c>
      <c r="E367" s="284"/>
      <c r="F367" s="181">
        <f>NOMINA!F24</f>
        <v>0</v>
      </c>
      <c r="G367" s="18"/>
    </row>
    <row r="368" spans="1:9" s="16" customFormat="1" ht="15.95" customHeight="1">
      <c r="A368" s="275" t="s">
        <v>35</v>
      </c>
      <c r="B368" s="282" t="s">
        <v>37</v>
      </c>
      <c r="C368" s="30" t="s">
        <v>84</v>
      </c>
      <c r="D368" s="30" t="s">
        <v>82</v>
      </c>
      <c r="E368" s="30" t="s">
        <v>83</v>
      </c>
      <c r="F368" s="180" t="s">
        <v>38</v>
      </c>
      <c r="G368" s="31"/>
      <c r="I368" s="17"/>
    </row>
    <row r="369" spans="1:7" s="16" customFormat="1" ht="15.95" customHeight="1">
      <c r="A369" s="276"/>
      <c r="B369" s="283"/>
      <c r="C369" s="32" t="s">
        <v>33</v>
      </c>
      <c r="D369" s="32" t="s">
        <v>33</v>
      </c>
      <c r="E369" s="32" t="s">
        <v>33</v>
      </c>
      <c r="F369" s="46" t="s">
        <v>33</v>
      </c>
      <c r="G369" s="31"/>
    </row>
    <row r="370" spans="1:7" ht="17.100000000000001" customHeight="1">
      <c r="A370" s="271" t="s">
        <v>45</v>
      </c>
      <c r="B370" s="34" t="s">
        <v>36</v>
      </c>
      <c r="C370" s="35">
        <f>IF(LEN!C24=0," ",LEN!C24)</f>
        <v>41</v>
      </c>
      <c r="D370" s="35" t="str">
        <f>IF(LEN!D24=0," ",LEN!D24)</f>
        <v xml:space="preserve"> </v>
      </c>
      <c r="E370" s="35" t="str">
        <f>IF(LEN!E24=0," ",LEN!E24)</f>
        <v xml:space="preserve"> </v>
      </c>
      <c r="F370" s="35">
        <f>IF(LEN!F24=0," ",LEN!F24)</f>
        <v>14</v>
      </c>
      <c r="G370" s="18"/>
    </row>
    <row r="371" spans="1:7" ht="17.100000000000001" customHeight="1">
      <c r="A371" s="271"/>
      <c r="B371" s="34" t="s">
        <v>10</v>
      </c>
      <c r="C371" s="35">
        <f>IF(ING!C24=0," ",ING!C24)</f>
        <v>52</v>
      </c>
      <c r="D371" s="35" t="str">
        <f>IF(ING!D24=0," ",ING!D24)</f>
        <v xml:space="preserve"> </v>
      </c>
      <c r="E371" s="35" t="str">
        <f>IF(ING!E24=0," ",ING!E24)</f>
        <v xml:space="preserve"> </v>
      </c>
      <c r="F371" s="35">
        <f>IF(ING!F24=0," ",ING!F24)</f>
        <v>17</v>
      </c>
      <c r="G371" s="18"/>
    </row>
    <row r="372" spans="1:7" ht="17.100000000000001" customHeight="1">
      <c r="A372" s="271"/>
      <c r="B372" s="34" t="s">
        <v>61</v>
      </c>
      <c r="C372" s="35">
        <f>IF('C.SOC'!C24=0," ",'C.SOC'!C24)</f>
        <v>35</v>
      </c>
      <c r="D372" s="35" t="str">
        <f>IF('C.SOC'!D24=0," ",'C.SOC'!D24)</f>
        <v xml:space="preserve"> </v>
      </c>
      <c r="E372" s="35" t="str">
        <f>IF('C.SOC'!E24=0," ",'C.SOC'!E24)</f>
        <v xml:space="preserve"> </v>
      </c>
      <c r="F372" s="35">
        <f>IF('C.SOC'!F24=0," ",'C.SOC'!F24)</f>
        <v>12</v>
      </c>
      <c r="G372" s="18"/>
    </row>
    <row r="373" spans="1:7" ht="17.100000000000001" customHeight="1">
      <c r="A373" s="271"/>
      <c r="B373" s="34" t="s">
        <v>43</v>
      </c>
      <c r="C373" s="35">
        <f>IF('E. FIS.'!C24=0," ",'E. FIS.'!C24)</f>
        <v>65</v>
      </c>
      <c r="D373" s="35" t="str">
        <f>IF('E. FIS.'!D24=0," ",'E. FIS.'!D24)</f>
        <v xml:space="preserve"> </v>
      </c>
      <c r="E373" s="35" t="str">
        <f>IF('E. FIS.'!E24=0," ",'E. FIS.'!E24)</f>
        <v xml:space="preserve"> </v>
      </c>
      <c r="F373" s="35">
        <f>IF('E. FIS.'!F24=0," ",'E. FIS.'!F24)</f>
        <v>22</v>
      </c>
      <c r="G373" s="18"/>
    </row>
    <row r="374" spans="1:7" ht="17.100000000000001" customHeight="1">
      <c r="A374" s="271"/>
      <c r="B374" s="34" t="s">
        <v>44</v>
      </c>
      <c r="C374" s="35">
        <f>IF(MUS.!C24=0," ",MUS.!C24)</f>
        <v>45</v>
      </c>
      <c r="D374" s="35" t="str">
        <f>IF(MUS.!D24=0," ",MUS.!D24)</f>
        <v xml:space="preserve"> </v>
      </c>
      <c r="E374" s="35" t="str">
        <f>IF(MUS.!E24=0," ",MUS.!E24)</f>
        <v xml:space="preserve"> </v>
      </c>
      <c r="F374" s="35">
        <f>IF(MUS.!F24=0," ",MUS.!F24)</f>
        <v>15</v>
      </c>
      <c r="G374" s="18"/>
    </row>
    <row r="375" spans="1:7" ht="17.100000000000001" customHeight="1">
      <c r="A375" s="271"/>
      <c r="B375" s="34" t="s">
        <v>11</v>
      </c>
      <c r="C375" s="35">
        <f>IF('A.PL. '!C24=0," ",'A.PL. '!C24)</f>
        <v>51</v>
      </c>
      <c r="D375" s="35" t="str">
        <f>IF('A.PL. '!D24=0," ",'A.PL. '!D24)</f>
        <v xml:space="preserve"> </v>
      </c>
      <c r="E375" s="35" t="str">
        <f>IF('A.PL. '!E24=0," ",'A.PL. '!E24)</f>
        <v xml:space="preserve"> </v>
      </c>
      <c r="F375" s="35">
        <f>IF('A.PL. '!F24=0," ",'A.PL. '!F24)</f>
        <v>17</v>
      </c>
      <c r="G375" s="18"/>
    </row>
    <row r="376" spans="1:7" ht="17.100000000000001" customHeight="1">
      <c r="A376" s="272" t="s">
        <v>64</v>
      </c>
      <c r="B376" s="34" t="s">
        <v>62</v>
      </c>
      <c r="C376" s="35">
        <f>IF(MAT!C24=0," ",MAT!C24)</f>
        <v>46</v>
      </c>
      <c r="D376" s="35" t="str">
        <f>IF(MAT!D24=0," ",MAT!D24)</f>
        <v xml:space="preserve"> </v>
      </c>
      <c r="E376" s="35" t="str">
        <f>IF(MAT!E24=0," ",MAT!E24)</f>
        <v xml:space="preserve"> </v>
      </c>
      <c r="F376" s="35">
        <f>IF(MAT!F24=0," ",MAT!F24)</f>
        <v>15</v>
      </c>
      <c r="G376" s="18"/>
    </row>
    <row r="377" spans="1:7" ht="17.100000000000001" customHeight="1">
      <c r="A377" s="272"/>
      <c r="B377" s="34" t="s">
        <v>101</v>
      </c>
      <c r="C377" s="35">
        <f>IF('T. TEC. GRAL'!C24=0," ",'T. TEC. GRAL'!C24)</f>
        <v>56</v>
      </c>
      <c r="D377" s="35" t="str">
        <f>IF('T. TEC. GRAL'!D24=0," ",'T. TEC. GRAL'!D24)</f>
        <v xml:space="preserve"> </v>
      </c>
      <c r="E377" s="35" t="str">
        <f>IF('T. TEC. GRAL'!E24=0," ",'T. TEC. GRAL'!E24)</f>
        <v xml:space="preserve"> </v>
      </c>
      <c r="F377" s="35">
        <f>IF('T. TEC. GRAL'!F24=0," ",'T. TEC. GRAL'!F24)</f>
        <v>19</v>
      </c>
      <c r="G377" s="18"/>
    </row>
    <row r="378" spans="1:7" ht="24" customHeight="1">
      <c r="A378" s="142" t="s">
        <v>79</v>
      </c>
      <c r="B378" s="34" t="s">
        <v>63</v>
      </c>
      <c r="C378" s="35">
        <f>IF('BIO-GEO'!C24=0," ",'BIO-GEO'!C24)</f>
        <v>51</v>
      </c>
      <c r="D378" s="35" t="str">
        <f>IF('BIO-GEO'!D24=0," ",'BIO-GEO'!D24)</f>
        <v xml:space="preserve"> </v>
      </c>
      <c r="E378" s="35" t="str">
        <f>IF('BIO-GEO'!E24=0," ",'BIO-GEO'!E24)</f>
        <v xml:space="preserve"> </v>
      </c>
      <c r="F378" s="35">
        <f>IF('BIO-GEO'!F24=0," ",'BIO-GEO'!F24)</f>
        <v>17</v>
      </c>
      <c r="G378" s="18"/>
    </row>
    <row r="379" spans="1:7" ht="17.100000000000001" customHeight="1">
      <c r="A379" s="271" t="s">
        <v>39</v>
      </c>
      <c r="B379" s="34" t="s">
        <v>54</v>
      </c>
      <c r="C379" s="35">
        <f>IF(PSI!C24=0," ",PSI!C24)</f>
        <v>54</v>
      </c>
      <c r="D379" s="35" t="str">
        <f>IF(PSI!D24=0," ",PSI!D24)</f>
        <v xml:space="preserve"> </v>
      </c>
      <c r="E379" s="35" t="str">
        <f>IF(PSI!E24=0," ",PSI!E24)</f>
        <v xml:space="preserve"> </v>
      </c>
      <c r="F379" s="35">
        <f>IF(PSI!F24=0," ",PSI!F24)</f>
        <v>18</v>
      </c>
      <c r="G379" s="18"/>
    </row>
    <row r="380" spans="1:7" ht="17.100000000000001" customHeight="1">
      <c r="A380" s="271"/>
      <c r="B380" s="34" t="s">
        <v>55</v>
      </c>
      <c r="C380" s="35">
        <f>IF('REL.'!C24=0," ",'REL.'!C24)</f>
        <v>58</v>
      </c>
      <c r="D380" s="35" t="str">
        <f>IF('REL.'!D24=0," ",'REL.'!D24)</f>
        <v xml:space="preserve"> </v>
      </c>
      <c r="E380" s="35" t="str">
        <f>IF('REL.'!E24=0," ",'REL.'!E24)</f>
        <v xml:space="preserve"> </v>
      </c>
      <c r="F380" s="35">
        <f>IF('REL.'!F24=0," ",'REL.'!F24)</f>
        <v>19</v>
      </c>
      <c r="G380" s="18"/>
    </row>
    <row r="381" spans="1:7" ht="15.95" customHeight="1">
      <c r="A381" s="146"/>
      <c r="B381" s="144"/>
      <c r="C381" s="38"/>
      <c r="D381" s="38"/>
      <c r="E381" s="38"/>
      <c r="F381" s="38"/>
      <c r="G381" s="18"/>
    </row>
    <row r="382" spans="1:7" ht="15.95" customHeight="1">
      <c r="A382" s="146"/>
      <c r="B382" s="144"/>
      <c r="C382" s="38"/>
      <c r="D382" s="38"/>
      <c r="E382" s="38"/>
      <c r="F382" s="38"/>
      <c r="G382" s="18"/>
    </row>
    <row r="383" spans="1:7" ht="20.25" customHeight="1">
      <c r="A383" s="146"/>
      <c r="B383" s="144"/>
      <c r="C383" s="38"/>
      <c r="D383" s="38"/>
      <c r="E383" s="38"/>
      <c r="F383" s="38"/>
      <c r="G383" s="18"/>
    </row>
    <row r="384" spans="1:7" ht="17.25" customHeight="1">
      <c r="A384" s="18"/>
      <c r="B384" s="18"/>
      <c r="C384" s="278" t="s">
        <v>42</v>
      </c>
      <c r="D384" s="278"/>
      <c r="E384" s="278"/>
      <c r="F384" s="18"/>
      <c r="G384" s="18"/>
    </row>
    <row r="385" spans="1:9" ht="15.95" customHeight="1">
      <c r="A385" s="270" t="str">
        <f t="shared" ref="A385" si="18">$A$3</f>
        <v>U. E. ABAROA B</v>
      </c>
      <c r="B385" s="270"/>
      <c r="C385" s="18"/>
      <c r="D385" s="18"/>
      <c r="E385" s="18"/>
      <c r="F385" s="182" t="str">
        <f>NOMINA!$D$2</f>
        <v>GESTION: 2026</v>
      </c>
      <c r="G385" s="18"/>
    </row>
    <row r="386" spans="1:9" s="14" customFormat="1" ht="21.95" customHeight="1">
      <c r="A386" s="273" t="str">
        <f>NOMINA!$B$2</f>
        <v>CURSO 2A</v>
      </c>
      <c r="B386" s="274"/>
      <c r="C386" s="280" t="str">
        <f>NOMINA!B26</f>
        <v>MERUVIA GUTIERREZ ASHLY SCARLETT</v>
      </c>
      <c r="D386" s="281"/>
      <c r="E386" s="281"/>
      <c r="F386" s="281"/>
      <c r="G386" s="49"/>
    </row>
    <row r="387" spans="1:9" ht="15.95" customHeight="1">
      <c r="A387" s="279">
        <f>NOMINA!A26</f>
        <v>21</v>
      </c>
      <c r="B387" s="52"/>
      <c r="C387" s="43" t="s">
        <v>5</v>
      </c>
      <c r="D387" s="271" t="s">
        <v>9</v>
      </c>
      <c r="E387" s="271"/>
      <c r="F387" s="179" t="s">
        <v>7</v>
      </c>
      <c r="G387" s="18"/>
    </row>
    <row r="388" spans="1:9" ht="15.95" customHeight="1">
      <c r="A388" s="279"/>
      <c r="B388" s="53"/>
      <c r="C388" s="178">
        <f>NOMINA!C26</f>
        <v>0</v>
      </c>
      <c r="D388" s="284">
        <f>NOMINA!D26</f>
        <v>0</v>
      </c>
      <c r="E388" s="284"/>
      <c r="F388" s="181">
        <f>NOMINA!F26</f>
        <v>0</v>
      </c>
      <c r="G388" s="18"/>
    </row>
    <row r="389" spans="1:9" s="16" customFormat="1" ht="15.95" customHeight="1">
      <c r="A389" s="275" t="s">
        <v>35</v>
      </c>
      <c r="B389" s="282" t="s">
        <v>37</v>
      </c>
      <c r="C389" s="30" t="s">
        <v>84</v>
      </c>
      <c r="D389" s="30" t="s">
        <v>82</v>
      </c>
      <c r="E389" s="30" t="s">
        <v>83</v>
      </c>
      <c r="F389" s="180" t="s">
        <v>38</v>
      </c>
      <c r="G389" s="31"/>
      <c r="I389" s="17"/>
    </row>
    <row r="390" spans="1:9" s="16" customFormat="1" ht="15.95" customHeight="1">
      <c r="A390" s="276"/>
      <c r="B390" s="283"/>
      <c r="C390" s="32" t="s">
        <v>33</v>
      </c>
      <c r="D390" s="32" t="s">
        <v>33</v>
      </c>
      <c r="E390" s="32" t="s">
        <v>33</v>
      </c>
      <c r="F390" s="46" t="s">
        <v>33</v>
      </c>
      <c r="G390" s="31"/>
    </row>
    <row r="391" spans="1:9" ht="17.100000000000001" customHeight="1">
      <c r="A391" s="271" t="s">
        <v>45</v>
      </c>
      <c r="B391" s="34" t="s">
        <v>36</v>
      </c>
      <c r="C391" s="35">
        <f>IF(LEN!C25=0," ",LEN!C25)</f>
        <v>60</v>
      </c>
      <c r="D391" s="35" t="str">
        <f>IF(LEN!D25=0," ",LEN!D25)</f>
        <v xml:space="preserve"> </v>
      </c>
      <c r="E391" s="35" t="str">
        <f>IF(LEN!E25=0," ",LEN!E25)</f>
        <v xml:space="preserve"> </v>
      </c>
      <c r="F391" s="35">
        <f>IF(LEN!F25=0," ",LEN!F25)</f>
        <v>20</v>
      </c>
      <c r="G391" s="18"/>
    </row>
    <row r="392" spans="1:9" ht="17.100000000000001" customHeight="1">
      <c r="A392" s="271"/>
      <c r="B392" s="34" t="s">
        <v>10</v>
      </c>
      <c r="C392" s="35">
        <f>IF(ING!C25=0," ",ING!C25)</f>
        <v>52</v>
      </c>
      <c r="D392" s="35" t="str">
        <f>IF(ING!D25=0," ",ING!D25)</f>
        <v xml:space="preserve"> </v>
      </c>
      <c r="E392" s="35" t="str">
        <f>IF(ING!E25=0," ",ING!E25)</f>
        <v xml:space="preserve"> </v>
      </c>
      <c r="F392" s="35">
        <f>IF(ING!F25=0," ",ING!F25)</f>
        <v>17</v>
      </c>
      <c r="G392" s="18"/>
    </row>
    <row r="393" spans="1:9" ht="17.100000000000001" customHeight="1">
      <c r="A393" s="271"/>
      <c r="B393" s="34" t="s">
        <v>61</v>
      </c>
      <c r="C393" s="35">
        <f>IF('C.SOC'!C25=0," ",'C.SOC'!C25)</f>
        <v>40</v>
      </c>
      <c r="D393" s="35" t="str">
        <f>IF('C.SOC'!D25=0," ",'C.SOC'!D25)</f>
        <v xml:space="preserve"> </v>
      </c>
      <c r="E393" s="35" t="str">
        <f>IF('C.SOC'!E25=0," ",'C.SOC'!E25)</f>
        <v xml:space="preserve"> </v>
      </c>
      <c r="F393" s="35">
        <f>IF('C.SOC'!F25=0," ",'C.SOC'!F25)</f>
        <v>13</v>
      </c>
      <c r="G393" s="18"/>
    </row>
    <row r="394" spans="1:9" ht="17.100000000000001" customHeight="1">
      <c r="A394" s="271"/>
      <c r="B394" s="34" t="s">
        <v>43</v>
      </c>
      <c r="C394" s="35">
        <f>IF('E. FIS.'!C25=0," ",'E. FIS.'!C25)</f>
        <v>77</v>
      </c>
      <c r="D394" s="35" t="str">
        <f>IF('E. FIS.'!D25=0," ",'E. FIS.'!D25)</f>
        <v xml:space="preserve"> </v>
      </c>
      <c r="E394" s="35" t="str">
        <f>IF('E. FIS.'!E25=0," ",'E. FIS.'!E25)</f>
        <v xml:space="preserve"> </v>
      </c>
      <c r="F394" s="35">
        <f>IF('E. FIS.'!F25=0," ",'E. FIS.'!F25)</f>
        <v>26</v>
      </c>
      <c r="G394" s="18"/>
    </row>
    <row r="395" spans="1:9" ht="17.100000000000001" customHeight="1">
      <c r="A395" s="271"/>
      <c r="B395" s="34" t="s">
        <v>44</v>
      </c>
      <c r="C395" s="35">
        <f>IF(MUS.!C25=0," ",MUS.!C25)</f>
        <v>78</v>
      </c>
      <c r="D395" s="35" t="str">
        <f>IF(MUS.!D25=0," ",MUS.!D25)</f>
        <v xml:space="preserve"> </v>
      </c>
      <c r="E395" s="35" t="str">
        <f>IF(MUS.!E25=0," ",MUS.!E25)</f>
        <v xml:space="preserve"> </v>
      </c>
      <c r="F395" s="35">
        <f>IF(MUS.!F25=0," ",MUS.!F25)</f>
        <v>26</v>
      </c>
      <c r="G395" s="18"/>
    </row>
    <row r="396" spans="1:9" ht="17.100000000000001" customHeight="1">
      <c r="A396" s="271"/>
      <c r="B396" s="34" t="s">
        <v>11</v>
      </c>
      <c r="C396" s="35">
        <f>IF('A.PL. '!C25=0," ",'A.PL. '!C25)</f>
        <v>73</v>
      </c>
      <c r="D396" s="35" t="str">
        <f>IF('A.PL. '!D25=0," ",'A.PL. '!D25)</f>
        <v xml:space="preserve"> </v>
      </c>
      <c r="E396" s="35" t="str">
        <f>IF('A.PL. '!E25=0," ",'A.PL. '!E25)</f>
        <v xml:space="preserve"> </v>
      </c>
      <c r="F396" s="35">
        <f>IF('A.PL. '!F25=0," ",'A.PL. '!F25)</f>
        <v>24</v>
      </c>
      <c r="G396" s="18"/>
    </row>
    <row r="397" spans="1:9" ht="17.100000000000001" customHeight="1">
      <c r="A397" s="272" t="s">
        <v>64</v>
      </c>
      <c r="B397" s="34" t="s">
        <v>62</v>
      </c>
      <c r="C397" s="35">
        <f>IF(MAT!C25=0," ",MAT!C25)</f>
        <v>59</v>
      </c>
      <c r="D397" s="35" t="str">
        <f>IF(MAT!D25=0," ",MAT!D25)</f>
        <v xml:space="preserve"> </v>
      </c>
      <c r="E397" s="35" t="str">
        <f>IF(MAT!E25=0," ",MAT!E25)</f>
        <v xml:space="preserve"> </v>
      </c>
      <c r="F397" s="35">
        <f>IF(MAT!F25=0," ",MAT!F25)</f>
        <v>20</v>
      </c>
      <c r="G397" s="18"/>
    </row>
    <row r="398" spans="1:9" ht="17.100000000000001" customHeight="1">
      <c r="A398" s="272"/>
      <c r="B398" s="34" t="s">
        <v>101</v>
      </c>
      <c r="C398" s="35">
        <f>IF('T. TEC. GRAL'!C25=0," ",'T. TEC. GRAL'!C25)</f>
        <v>60</v>
      </c>
      <c r="D398" s="35" t="str">
        <f>IF('T. TEC. GRAL'!D25=0," ",'T. TEC. GRAL'!D25)</f>
        <v xml:space="preserve"> </v>
      </c>
      <c r="E398" s="35" t="str">
        <f>IF('T. TEC. GRAL'!E25=0," ",'T. TEC. GRAL'!E25)</f>
        <v xml:space="preserve"> </v>
      </c>
      <c r="F398" s="35">
        <f>IF('T. TEC. GRAL'!F25=0," ",'T. TEC. GRAL'!F25)</f>
        <v>20</v>
      </c>
      <c r="G398" s="18"/>
    </row>
    <row r="399" spans="1:9" ht="24" customHeight="1">
      <c r="A399" s="142" t="s">
        <v>79</v>
      </c>
      <c r="B399" s="34" t="s">
        <v>63</v>
      </c>
      <c r="C399" s="35">
        <f>IF('BIO-GEO'!C25=0," ",'BIO-GEO'!C25)</f>
        <v>69</v>
      </c>
      <c r="D399" s="35" t="str">
        <f>IF('BIO-GEO'!D25=0," ",'BIO-GEO'!D25)</f>
        <v xml:space="preserve"> </v>
      </c>
      <c r="E399" s="35" t="str">
        <f>IF('BIO-GEO'!E25=0," ",'BIO-GEO'!E25)</f>
        <v xml:space="preserve"> </v>
      </c>
      <c r="F399" s="35">
        <f>IF('BIO-GEO'!F25=0," ",'BIO-GEO'!F25)</f>
        <v>23</v>
      </c>
      <c r="G399" s="18"/>
    </row>
    <row r="400" spans="1:9" ht="17.100000000000001" customHeight="1">
      <c r="A400" s="271" t="s">
        <v>39</v>
      </c>
      <c r="B400" s="34" t="s">
        <v>54</v>
      </c>
      <c r="C400" s="35">
        <f>IF(PSI!C25=0," ",PSI!C25)</f>
        <v>59</v>
      </c>
      <c r="D400" s="35" t="str">
        <f>IF(PSI!D25=0," ",PSI!D25)</f>
        <v xml:space="preserve"> </v>
      </c>
      <c r="E400" s="35" t="str">
        <f>IF(PSI!E25=0," ",PSI!E25)</f>
        <v xml:space="preserve"> </v>
      </c>
      <c r="F400" s="35">
        <f>IF(PSI!F25=0," ",PSI!F25)</f>
        <v>20</v>
      </c>
      <c r="G400" s="18"/>
    </row>
    <row r="401" spans="1:9" ht="17.100000000000001" customHeight="1">
      <c r="A401" s="271"/>
      <c r="B401" s="34" t="s">
        <v>55</v>
      </c>
      <c r="C401" s="35">
        <f>IF('REL.'!C25=0," ",'REL.'!C25)</f>
        <v>66.75</v>
      </c>
      <c r="D401" s="35" t="str">
        <f>IF('REL.'!D25=0," ",'REL.'!D25)</f>
        <v xml:space="preserve"> </v>
      </c>
      <c r="E401" s="35" t="str">
        <f>IF('REL.'!E25=0," ",'REL.'!E25)</f>
        <v xml:space="preserve"> </v>
      </c>
      <c r="F401" s="35">
        <f>IF('REL.'!F25=0," ",'REL.'!F25)</f>
        <v>22</v>
      </c>
      <c r="G401" s="18"/>
    </row>
    <row r="402" spans="1:9" ht="15.95" customHeight="1">
      <c r="A402" s="143"/>
      <c r="B402" s="144"/>
      <c r="C402" s="38"/>
      <c r="D402" s="38"/>
      <c r="E402" s="38"/>
      <c r="F402" s="38"/>
      <c r="G402" s="18"/>
    </row>
    <row r="403" spans="1:9" ht="17.25" customHeight="1">
      <c r="A403" s="18"/>
      <c r="B403" s="18"/>
      <c r="C403" s="278" t="s">
        <v>42</v>
      </c>
      <c r="D403" s="278"/>
      <c r="E403" s="278"/>
      <c r="F403" s="18"/>
      <c r="G403" s="18"/>
    </row>
    <row r="404" spans="1:9" ht="15.95" customHeight="1">
      <c r="A404" s="270" t="str">
        <f t="shared" ref="A404" si="19">$A$3</f>
        <v>U. E. ABAROA B</v>
      </c>
      <c r="B404" s="270"/>
      <c r="C404" s="18"/>
      <c r="D404" s="18"/>
      <c r="E404" s="18"/>
      <c r="F404" s="182" t="str">
        <f>NOMINA!$D$2</f>
        <v>GESTION: 2026</v>
      </c>
      <c r="G404" s="18"/>
    </row>
    <row r="405" spans="1:9" s="14" customFormat="1" ht="21.95" customHeight="1">
      <c r="A405" s="273" t="str">
        <f>NOMINA!$B$2</f>
        <v>CURSO 2A</v>
      </c>
      <c r="B405" s="274"/>
      <c r="C405" s="280" t="str">
        <f>NOMINA!B27</f>
        <v>MONTAÑO QUILO BENJAMIN GONZALO</v>
      </c>
      <c r="D405" s="281"/>
      <c r="E405" s="281"/>
      <c r="F405" s="281"/>
      <c r="G405" s="49"/>
    </row>
    <row r="406" spans="1:9" ht="15.95" customHeight="1">
      <c r="A406" s="279">
        <f>NOMINA!A27</f>
        <v>22</v>
      </c>
      <c r="B406" s="52"/>
      <c r="C406" s="34" t="s">
        <v>5</v>
      </c>
      <c r="D406" s="271" t="s">
        <v>9</v>
      </c>
      <c r="E406" s="271"/>
      <c r="F406" s="179" t="s">
        <v>7</v>
      </c>
      <c r="G406" s="18"/>
    </row>
    <row r="407" spans="1:9" ht="15.95" customHeight="1">
      <c r="A407" s="279"/>
      <c r="B407" s="53"/>
      <c r="C407" s="178">
        <f>NOMINA!C27</f>
        <v>0</v>
      </c>
      <c r="D407" s="284">
        <f>NOMINA!D27</f>
        <v>0</v>
      </c>
      <c r="E407" s="284"/>
      <c r="F407" s="181">
        <f>NOMINA!F27</f>
        <v>0</v>
      </c>
      <c r="G407" s="18"/>
    </row>
    <row r="408" spans="1:9" s="16" customFormat="1" ht="15.95" customHeight="1">
      <c r="A408" s="275" t="s">
        <v>35</v>
      </c>
      <c r="B408" s="282" t="s">
        <v>37</v>
      </c>
      <c r="C408" s="30" t="s">
        <v>84</v>
      </c>
      <c r="D408" s="30" t="s">
        <v>82</v>
      </c>
      <c r="E408" s="30" t="s">
        <v>83</v>
      </c>
      <c r="F408" s="180" t="s">
        <v>38</v>
      </c>
      <c r="G408" s="31"/>
      <c r="I408" s="17"/>
    </row>
    <row r="409" spans="1:9" s="16" customFormat="1" ht="15.95" customHeight="1">
      <c r="A409" s="276"/>
      <c r="B409" s="283"/>
      <c r="C409" s="32" t="s">
        <v>33</v>
      </c>
      <c r="D409" s="32" t="s">
        <v>33</v>
      </c>
      <c r="E409" s="32" t="s">
        <v>33</v>
      </c>
      <c r="F409" s="46" t="s">
        <v>33</v>
      </c>
      <c r="G409" s="31"/>
    </row>
    <row r="410" spans="1:9" ht="17.100000000000001" customHeight="1">
      <c r="A410" s="271" t="s">
        <v>45</v>
      </c>
      <c r="B410" s="34" t="s">
        <v>36</v>
      </c>
      <c r="C410" s="35">
        <f>IF(LEN!C26=0," ",LEN!C26)</f>
        <v>96</v>
      </c>
      <c r="D410" s="35" t="str">
        <f>IF(LEN!D26=0," ",LEN!D26)</f>
        <v xml:space="preserve"> </v>
      </c>
      <c r="E410" s="35" t="str">
        <f>IF(LEN!E26=0," ",LEN!E26)</f>
        <v xml:space="preserve"> </v>
      </c>
      <c r="F410" s="35">
        <f>IF(LEN!F26=0," ",LEN!F26)</f>
        <v>32</v>
      </c>
      <c r="G410" s="18"/>
    </row>
    <row r="411" spans="1:9" ht="17.100000000000001" customHeight="1">
      <c r="A411" s="271"/>
      <c r="B411" s="34" t="s">
        <v>10</v>
      </c>
      <c r="C411" s="35">
        <f>IF(ING!C26=0," ",ING!C26)</f>
        <v>92</v>
      </c>
      <c r="D411" s="35" t="str">
        <f>IF(ING!D26=0," ",ING!D26)</f>
        <v xml:space="preserve"> </v>
      </c>
      <c r="E411" s="35" t="str">
        <f>IF(ING!E26=0," ",ING!E26)</f>
        <v xml:space="preserve"> </v>
      </c>
      <c r="F411" s="35">
        <f>IF(ING!F26=0," ",ING!F26)</f>
        <v>31</v>
      </c>
      <c r="G411" s="18"/>
    </row>
    <row r="412" spans="1:9" ht="17.100000000000001" customHeight="1">
      <c r="A412" s="271"/>
      <c r="B412" s="34" t="s">
        <v>61</v>
      </c>
      <c r="C412" s="35">
        <f>IF('C.SOC'!C26=0," ",'C.SOC'!C26)</f>
        <v>92</v>
      </c>
      <c r="D412" s="35" t="str">
        <f>IF('C.SOC'!D26=0," ",'C.SOC'!D26)</f>
        <v xml:space="preserve"> </v>
      </c>
      <c r="E412" s="35" t="str">
        <f>IF('C.SOC'!E26=0," ",'C.SOC'!E26)</f>
        <v xml:space="preserve"> </v>
      </c>
      <c r="F412" s="35">
        <f>IF('C.SOC'!F26=0," ",'C.SOC'!F26)</f>
        <v>31</v>
      </c>
      <c r="G412" s="18"/>
    </row>
    <row r="413" spans="1:9" ht="17.100000000000001" customHeight="1">
      <c r="A413" s="271"/>
      <c r="B413" s="34" t="s">
        <v>43</v>
      </c>
      <c r="C413" s="35">
        <f>IF('E. FIS.'!C26=0," ",'E. FIS.'!C26)</f>
        <v>85</v>
      </c>
      <c r="D413" s="35" t="str">
        <f>IF('E. FIS.'!D26=0," ",'E. FIS.'!D26)</f>
        <v xml:space="preserve"> </v>
      </c>
      <c r="E413" s="35" t="str">
        <f>IF('E. FIS.'!E26=0," ",'E. FIS.'!E26)</f>
        <v xml:space="preserve"> </v>
      </c>
      <c r="F413" s="35">
        <f>IF('E. FIS.'!F26=0," ",'E. FIS.'!F26)</f>
        <v>28</v>
      </c>
      <c r="G413" s="18"/>
    </row>
    <row r="414" spans="1:9" ht="17.100000000000001" customHeight="1">
      <c r="A414" s="271"/>
      <c r="B414" s="34" t="s">
        <v>44</v>
      </c>
      <c r="C414" s="35">
        <f>IF(MUS.!C26=0," ",MUS.!C26)</f>
        <v>99</v>
      </c>
      <c r="D414" s="35" t="str">
        <f>IF(MUS.!D26=0," ",MUS.!D26)</f>
        <v xml:space="preserve"> </v>
      </c>
      <c r="E414" s="35" t="str">
        <f>IF(MUS.!E26=0," ",MUS.!E26)</f>
        <v xml:space="preserve"> </v>
      </c>
      <c r="F414" s="35">
        <f>IF(MUS.!F26=0," ",MUS.!F26)</f>
        <v>33</v>
      </c>
      <c r="G414" s="18"/>
    </row>
    <row r="415" spans="1:9" ht="17.100000000000001" customHeight="1">
      <c r="A415" s="271"/>
      <c r="B415" s="34" t="s">
        <v>11</v>
      </c>
      <c r="C415" s="35">
        <f>IF('A.PL. '!C26=0," ",'A.PL. '!C26)</f>
        <v>89</v>
      </c>
      <c r="D415" s="35" t="str">
        <f>IF('A.PL. '!D26=0," ",'A.PL. '!D26)</f>
        <v xml:space="preserve"> </v>
      </c>
      <c r="E415" s="35" t="str">
        <f>IF('A.PL. '!E26=0," ",'A.PL. '!E26)</f>
        <v xml:space="preserve"> </v>
      </c>
      <c r="F415" s="35">
        <f>IF('A.PL. '!F26=0," ",'A.PL. '!F26)</f>
        <v>30</v>
      </c>
      <c r="G415" s="18"/>
    </row>
    <row r="416" spans="1:9" ht="17.100000000000001" customHeight="1">
      <c r="A416" s="272" t="s">
        <v>64</v>
      </c>
      <c r="B416" s="34" t="s">
        <v>62</v>
      </c>
      <c r="C416" s="35">
        <f>IF(MAT!C26=0," ",MAT!C26)</f>
        <v>98</v>
      </c>
      <c r="D416" s="35" t="str">
        <f>IF(MAT!D26=0," ",MAT!D26)</f>
        <v xml:space="preserve"> </v>
      </c>
      <c r="E416" s="35" t="str">
        <f>IF(MAT!E26=0," ",MAT!E26)</f>
        <v xml:space="preserve"> </v>
      </c>
      <c r="F416" s="35">
        <f>IF(MAT!F26=0," ",MAT!F26)</f>
        <v>33</v>
      </c>
      <c r="G416" s="18"/>
    </row>
    <row r="417" spans="1:9" ht="17.100000000000001" customHeight="1">
      <c r="A417" s="272"/>
      <c r="B417" s="34" t="s">
        <v>101</v>
      </c>
      <c r="C417" s="35">
        <f>IF('T. TEC. GRAL'!C26=0," ",'T. TEC. GRAL'!C26)</f>
        <v>94</v>
      </c>
      <c r="D417" s="35" t="str">
        <f>IF('T. TEC. GRAL'!D26=0," ",'T. TEC. GRAL'!D26)</f>
        <v xml:space="preserve"> </v>
      </c>
      <c r="E417" s="35" t="str">
        <f>IF('T. TEC. GRAL'!E26=0," ",'T. TEC. GRAL'!E26)</f>
        <v xml:space="preserve"> </v>
      </c>
      <c r="F417" s="35">
        <f>IF('T. TEC. GRAL'!F26=0," ",'T. TEC. GRAL'!F26)</f>
        <v>31</v>
      </c>
      <c r="G417" s="18"/>
    </row>
    <row r="418" spans="1:9" ht="24" customHeight="1">
      <c r="A418" s="142" t="s">
        <v>79</v>
      </c>
      <c r="B418" s="34" t="s">
        <v>63</v>
      </c>
      <c r="C418" s="35">
        <f>IF('BIO-GEO'!C26=0," ",'BIO-GEO'!C26)</f>
        <v>90</v>
      </c>
      <c r="D418" s="35" t="str">
        <f>IF('BIO-GEO'!D26=0," ",'BIO-GEO'!D26)</f>
        <v xml:space="preserve"> </v>
      </c>
      <c r="E418" s="35" t="str">
        <f>IF('BIO-GEO'!E26=0," ",'BIO-GEO'!E26)</f>
        <v xml:space="preserve"> </v>
      </c>
      <c r="F418" s="35">
        <f>IF('BIO-GEO'!F26=0," ",'BIO-GEO'!F26)</f>
        <v>30</v>
      </c>
      <c r="G418" s="18"/>
    </row>
    <row r="419" spans="1:9" ht="17.100000000000001" customHeight="1">
      <c r="A419" s="271" t="s">
        <v>39</v>
      </c>
      <c r="B419" s="34" t="s">
        <v>54</v>
      </c>
      <c r="C419" s="35">
        <f>IF(PSI!C26=0," ",PSI!C26)</f>
        <v>86</v>
      </c>
      <c r="D419" s="35" t="str">
        <f>IF(PSI!D26=0," ",PSI!D26)</f>
        <v xml:space="preserve"> </v>
      </c>
      <c r="E419" s="35" t="str">
        <f>IF(PSI!E26=0," ",PSI!E26)</f>
        <v xml:space="preserve"> </v>
      </c>
      <c r="F419" s="35">
        <f>IF(PSI!F26=0," ",PSI!F26)</f>
        <v>29</v>
      </c>
      <c r="G419" s="18"/>
    </row>
    <row r="420" spans="1:9" ht="17.100000000000001" customHeight="1">
      <c r="A420" s="271"/>
      <c r="B420" s="34" t="s">
        <v>55</v>
      </c>
      <c r="C420" s="35">
        <f>IF('REL.'!C26=0," ",'REL.'!C26)</f>
        <v>93.666666666666657</v>
      </c>
      <c r="D420" s="35" t="str">
        <f>IF('REL.'!D26=0," ",'REL.'!D26)</f>
        <v xml:space="preserve"> </v>
      </c>
      <c r="E420" s="35" t="str">
        <f>IF('REL.'!E26=0," ",'REL.'!E26)</f>
        <v xml:space="preserve"> </v>
      </c>
      <c r="F420" s="35">
        <f>IF('REL.'!F26=0," ",'REL.'!F26)</f>
        <v>31</v>
      </c>
      <c r="G420" s="18"/>
    </row>
    <row r="421" spans="1:9" ht="15.95" customHeight="1">
      <c r="A421" s="146"/>
      <c r="B421" s="144"/>
      <c r="C421" s="38"/>
      <c r="D421" s="38"/>
      <c r="E421" s="38"/>
      <c r="F421" s="38"/>
      <c r="G421" s="18"/>
    </row>
    <row r="422" spans="1:9" ht="20.25" customHeight="1">
      <c r="A422" s="146"/>
      <c r="B422" s="144"/>
      <c r="C422" s="38"/>
      <c r="D422" s="38"/>
      <c r="E422" s="38"/>
      <c r="F422" s="38"/>
      <c r="G422" s="18"/>
    </row>
    <row r="423" spans="1:9" ht="21" customHeight="1">
      <c r="A423" s="143"/>
      <c r="B423" s="144"/>
      <c r="C423" s="38"/>
      <c r="D423" s="38"/>
      <c r="E423" s="38"/>
      <c r="F423" s="38"/>
      <c r="G423" s="18"/>
    </row>
    <row r="424" spans="1:9" ht="17.25" customHeight="1">
      <c r="A424" s="18"/>
      <c r="B424" s="18"/>
      <c r="C424" s="278" t="s">
        <v>42</v>
      </c>
      <c r="D424" s="278"/>
      <c r="E424" s="278"/>
      <c r="F424" s="18"/>
      <c r="G424" s="18"/>
    </row>
    <row r="425" spans="1:9" ht="15.95" customHeight="1">
      <c r="A425" s="270" t="str">
        <f t="shared" ref="A425" si="20">$A$3</f>
        <v>U. E. ABAROA B</v>
      </c>
      <c r="B425" s="270"/>
      <c r="C425" s="18"/>
      <c r="D425" s="18"/>
      <c r="E425" s="18"/>
      <c r="F425" s="182" t="str">
        <f>NOMINA!$D$2</f>
        <v>GESTION: 2026</v>
      </c>
      <c r="G425" s="18"/>
    </row>
    <row r="426" spans="1:9" s="14" customFormat="1" ht="24.95" customHeight="1">
      <c r="A426" s="273" t="str">
        <f>NOMINA!$B$2</f>
        <v>CURSO 2A</v>
      </c>
      <c r="B426" s="274"/>
      <c r="C426" s="280" t="str">
        <f>NOMINA!B28</f>
        <v>PANIAGUA VARGAS KEYLA</v>
      </c>
      <c r="D426" s="281"/>
      <c r="E426" s="281"/>
      <c r="F426" s="281"/>
      <c r="G426" s="49"/>
    </row>
    <row r="427" spans="1:9" ht="15.95" customHeight="1">
      <c r="A427" s="279">
        <f>NOMINA!A28</f>
        <v>23</v>
      </c>
      <c r="B427" s="52"/>
      <c r="C427" s="34" t="s">
        <v>5</v>
      </c>
      <c r="D427" s="271" t="s">
        <v>9</v>
      </c>
      <c r="E427" s="271"/>
      <c r="F427" s="179" t="s">
        <v>7</v>
      </c>
      <c r="G427" s="18"/>
    </row>
    <row r="428" spans="1:9" ht="15.95" customHeight="1">
      <c r="A428" s="279"/>
      <c r="B428" s="53"/>
      <c r="C428" s="178">
        <f>NOMINA!C28</f>
        <v>0</v>
      </c>
      <c r="D428" s="284">
        <f>NOMINA!D28</f>
        <v>0</v>
      </c>
      <c r="E428" s="284"/>
      <c r="F428" s="181">
        <f>NOMINA!F28</f>
        <v>0</v>
      </c>
      <c r="G428" s="18"/>
    </row>
    <row r="429" spans="1:9" s="16" customFormat="1" ht="15.95" customHeight="1">
      <c r="A429" s="275" t="s">
        <v>35</v>
      </c>
      <c r="B429" s="282" t="s">
        <v>37</v>
      </c>
      <c r="C429" s="30" t="s">
        <v>84</v>
      </c>
      <c r="D429" s="30" t="s">
        <v>82</v>
      </c>
      <c r="E429" s="30" t="s">
        <v>83</v>
      </c>
      <c r="F429" s="180" t="s">
        <v>38</v>
      </c>
      <c r="G429" s="31"/>
      <c r="I429" s="17"/>
    </row>
    <row r="430" spans="1:9" s="16" customFormat="1" ht="15.95" customHeight="1">
      <c r="A430" s="276"/>
      <c r="B430" s="283"/>
      <c r="C430" s="32" t="s">
        <v>33</v>
      </c>
      <c r="D430" s="32" t="s">
        <v>33</v>
      </c>
      <c r="E430" s="32" t="s">
        <v>33</v>
      </c>
      <c r="F430" s="46" t="s">
        <v>33</v>
      </c>
      <c r="G430" s="31"/>
    </row>
    <row r="431" spans="1:9" ht="17.100000000000001" customHeight="1">
      <c r="A431" s="271" t="s">
        <v>45</v>
      </c>
      <c r="B431" s="34" t="s">
        <v>36</v>
      </c>
      <c r="C431" s="35">
        <f>IF(LEN!C27=0," ",LEN!C27)</f>
        <v>44</v>
      </c>
      <c r="D431" s="35" t="str">
        <f>IF(LEN!D27=0," ",LEN!D27)</f>
        <v xml:space="preserve"> </v>
      </c>
      <c r="E431" s="35" t="str">
        <f>IF(LEN!E27=0," ",LEN!E27)</f>
        <v xml:space="preserve"> </v>
      </c>
      <c r="F431" s="35">
        <f>IF(LEN!F27=0," ",LEN!F27)</f>
        <v>15</v>
      </c>
      <c r="G431" s="18"/>
    </row>
    <row r="432" spans="1:9" ht="17.100000000000001" customHeight="1">
      <c r="A432" s="271"/>
      <c r="B432" s="34" t="s">
        <v>10</v>
      </c>
      <c r="C432" s="35">
        <f>IF(ING!C27=0," ",ING!C27)</f>
        <v>48</v>
      </c>
      <c r="D432" s="35" t="str">
        <f>IF(ING!D27=0," ",ING!D27)</f>
        <v xml:space="preserve"> </v>
      </c>
      <c r="E432" s="35" t="str">
        <f>IF(ING!E27=0," ",ING!E27)</f>
        <v xml:space="preserve"> </v>
      </c>
      <c r="F432" s="35">
        <f>IF(ING!F27=0," ",ING!F27)</f>
        <v>16</v>
      </c>
      <c r="G432" s="18"/>
    </row>
    <row r="433" spans="1:9" ht="17.100000000000001" customHeight="1">
      <c r="A433" s="271"/>
      <c r="B433" s="34" t="s">
        <v>61</v>
      </c>
      <c r="C433" s="35">
        <f>IF('C.SOC'!C27=0," ",'C.SOC'!C27)</f>
        <v>40</v>
      </c>
      <c r="D433" s="35" t="str">
        <f>IF('C.SOC'!D27=0," ",'C.SOC'!D27)</f>
        <v xml:space="preserve"> </v>
      </c>
      <c r="E433" s="35" t="str">
        <f>IF('C.SOC'!E27=0," ",'C.SOC'!E27)</f>
        <v xml:space="preserve"> </v>
      </c>
      <c r="F433" s="35">
        <f>IF('C.SOC'!F27=0," ",'C.SOC'!F27)</f>
        <v>13</v>
      </c>
      <c r="G433" s="18"/>
    </row>
    <row r="434" spans="1:9" ht="17.100000000000001" customHeight="1">
      <c r="A434" s="271"/>
      <c r="B434" s="34" t="s">
        <v>43</v>
      </c>
      <c r="C434" s="35">
        <f>IF('E. FIS.'!C27=0," ",'E. FIS.'!C27)</f>
        <v>64</v>
      </c>
      <c r="D434" s="35" t="str">
        <f>IF('E. FIS.'!D27=0," ",'E. FIS.'!D27)</f>
        <v xml:space="preserve"> </v>
      </c>
      <c r="E434" s="35" t="str">
        <f>IF('E. FIS.'!E27=0," ",'E. FIS.'!E27)</f>
        <v xml:space="preserve"> </v>
      </c>
      <c r="F434" s="35">
        <f>IF('E. FIS.'!F27=0," ",'E. FIS.'!F27)</f>
        <v>21</v>
      </c>
      <c r="G434" s="18"/>
    </row>
    <row r="435" spans="1:9" ht="17.100000000000001" customHeight="1">
      <c r="A435" s="271"/>
      <c r="B435" s="34" t="s">
        <v>44</v>
      </c>
      <c r="C435" s="35">
        <f>IF(MUS.!C27=0," ",MUS.!C27)</f>
        <v>45</v>
      </c>
      <c r="D435" s="35" t="str">
        <f>IF(MUS.!D27=0," ",MUS.!D27)</f>
        <v xml:space="preserve"> </v>
      </c>
      <c r="E435" s="35" t="str">
        <f>IF(MUS.!E27=0," ",MUS.!E27)</f>
        <v xml:space="preserve"> </v>
      </c>
      <c r="F435" s="35">
        <f>IF(MUS.!F27=0," ",MUS.!F27)</f>
        <v>15</v>
      </c>
      <c r="G435" s="18"/>
    </row>
    <row r="436" spans="1:9" ht="17.100000000000001" customHeight="1">
      <c r="A436" s="271"/>
      <c r="B436" s="34" t="s">
        <v>11</v>
      </c>
      <c r="C436" s="35">
        <f>IF('A.PL. '!C27=0," ",'A.PL. '!C27)</f>
        <v>58</v>
      </c>
      <c r="D436" s="35" t="str">
        <f>IF('A.PL. '!D27=0," ",'A.PL. '!D27)</f>
        <v xml:space="preserve"> </v>
      </c>
      <c r="E436" s="35" t="str">
        <f>IF('A.PL. '!E27=0," ",'A.PL. '!E27)</f>
        <v xml:space="preserve"> </v>
      </c>
      <c r="F436" s="35">
        <f>IF('A.PL. '!F27=0," ",'A.PL. '!F27)</f>
        <v>19</v>
      </c>
      <c r="G436" s="18"/>
    </row>
    <row r="437" spans="1:9" ht="17.100000000000001" customHeight="1">
      <c r="A437" s="272" t="s">
        <v>64</v>
      </c>
      <c r="B437" s="34" t="s">
        <v>62</v>
      </c>
      <c r="C437" s="35">
        <f>IF(MAT!C27=0," ",MAT!C27)</f>
        <v>48</v>
      </c>
      <c r="D437" s="35" t="str">
        <f>IF(MAT!D27=0," ",MAT!D27)</f>
        <v xml:space="preserve"> </v>
      </c>
      <c r="E437" s="35" t="str">
        <f>IF(MAT!E27=0," ",MAT!E27)</f>
        <v xml:space="preserve"> </v>
      </c>
      <c r="F437" s="35">
        <f>IF(MAT!F27=0," ",MAT!F27)</f>
        <v>16</v>
      </c>
      <c r="G437" s="18"/>
    </row>
    <row r="438" spans="1:9" ht="17.100000000000001" customHeight="1">
      <c r="A438" s="272"/>
      <c r="B438" s="34" t="s">
        <v>101</v>
      </c>
      <c r="C438" s="35">
        <f>IF('T. TEC. GRAL'!C27=0," ",'T. TEC. GRAL'!C27)</f>
        <v>55</v>
      </c>
      <c r="D438" s="35" t="str">
        <f>IF('T. TEC. GRAL'!D27=0," ",'T. TEC. GRAL'!D27)</f>
        <v xml:space="preserve"> </v>
      </c>
      <c r="E438" s="35" t="str">
        <f>IF('T. TEC. GRAL'!E27=0," ",'T. TEC. GRAL'!E27)</f>
        <v xml:space="preserve"> </v>
      </c>
      <c r="F438" s="35">
        <f>IF('T. TEC. GRAL'!F27=0," ",'T. TEC. GRAL'!F27)</f>
        <v>18</v>
      </c>
      <c r="G438" s="18"/>
    </row>
    <row r="439" spans="1:9" ht="24" customHeight="1">
      <c r="A439" s="142" t="s">
        <v>79</v>
      </c>
      <c r="B439" s="34" t="s">
        <v>63</v>
      </c>
      <c r="C439" s="35">
        <f>IF('BIO-GEO'!C27=0," ",'BIO-GEO'!C27)</f>
        <v>56</v>
      </c>
      <c r="D439" s="35" t="str">
        <f>IF('BIO-GEO'!D27=0," ",'BIO-GEO'!D27)</f>
        <v xml:space="preserve"> </v>
      </c>
      <c r="E439" s="35" t="str">
        <f>IF('BIO-GEO'!E27=0," ",'BIO-GEO'!E27)</f>
        <v xml:space="preserve"> </v>
      </c>
      <c r="F439" s="35">
        <f>IF('BIO-GEO'!F27=0," ",'BIO-GEO'!F27)</f>
        <v>19</v>
      </c>
      <c r="G439" s="18"/>
    </row>
    <row r="440" spans="1:9" ht="17.100000000000001" customHeight="1">
      <c r="A440" s="271" t="s">
        <v>39</v>
      </c>
      <c r="B440" s="34" t="s">
        <v>54</v>
      </c>
      <c r="C440" s="35">
        <f>IF(PSI!C27=0," ",PSI!C27)</f>
        <v>41</v>
      </c>
      <c r="D440" s="35" t="str">
        <f>IF(PSI!D27=0," ",PSI!D27)</f>
        <v xml:space="preserve"> </v>
      </c>
      <c r="E440" s="35" t="str">
        <f>IF(PSI!E27=0," ",PSI!E27)</f>
        <v xml:space="preserve"> </v>
      </c>
      <c r="F440" s="35">
        <f>IF(PSI!F27=0," ",PSI!F27)</f>
        <v>14</v>
      </c>
      <c r="G440" s="18"/>
    </row>
    <row r="441" spans="1:9" ht="17.100000000000001" customHeight="1">
      <c r="A441" s="271"/>
      <c r="B441" s="34" t="s">
        <v>55</v>
      </c>
      <c r="C441" s="35">
        <f>IF('REL.'!C27=0," ",'REL.'!C27)</f>
        <v>58.833333333333329</v>
      </c>
      <c r="D441" s="35" t="str">
        <f>IF('REL.'!D27=0," ",'REL.'!D27)</f>
        <v xml:space="preserve"> </v>
      </c>
      <c r="E441" s="35" t="str">
        <f>IF('REL.'!E27=0," ",'REL.'!E27)</f>
        <v xml:space="preserve"> </v>
      </c>
      <c r="F441" s="35">
        <f>IF('REL.'!F27=0," ",'REL.'!F27)</f>
        <v>20</v>
      </c>
      <c r="G441" s="18"/>
    </row>
    <row r="442" spans="1:9" ht="15.95" customHeight="1">
      <c r="A442" s="143"/>
      <c r="B442" s="144"/>
      <c r="C442" s="38"/>
      <c r="D442" s="38"/>
      <c r="E442" s="38"/>
      <c r="F442" s="38"/>
      <c r="G442" s="18"/>
    </row>
    <row r="443" spans="1:9" ht="17.25" customHeight="1">
      <c r="A443" s="18"/>
      <c r="B443" s="18"/>
      <c r="C443" s="278" t="s">
        <v>42</v>
      </c>
      <c r="D443" s="278"/>
      <c r="E443" s="278"/>
      <c r="F443" s="18"/>
      <c r="G443" s="18"/>
    </row>
    <row r="444" spans="1:9" ht="15.95" customHeight="1">
      <c r="A444" s="270" t="str">
        <f t="shared" ref="A444" si="21">$A$3</f>
        <v>U. E. ABAROA B</v>
      </c>
      <c r="B444" s="270"/>
      <c r="C444" s="18"/>
      <c r="D444" s="18"/>
      <c r="E444" s="18"/>
      <c r="F444" s="182" t="str">
        <f>NOMINA!$D$2</f>
        <v>GESTION: 2026</v>
      </c>
      <c r="G444" s="18"/>
    </row>
    <row r="445" spans="1:9" s="14" customFormat="1" ht="21.95" customHeight="1">
      <c r="A445" s="273" t="str">
        <f>NOMINA!$B$2</f>
        <v>CURSO 2A</v>
      </c>
      <c r="B445" s="274"/>
      <c r="C445" s="280" t="str">
        <f>NOMINA!B29</f>
        <v>PATZI GUARACHI MARIA BELEN</v>
      </c>
      <c r="D445" s="281"/>
      <c r="E445" s="281"/>
      <c r="F445" s="281"/>
      <c r="G445" s="49"/>
    </row>
    <row r="446" spans="1:9" ht="15.95" customHeight="1">
      <c r="A446" s="279">
        <f>NOMINA!A29</f>
        <v>24</v>
      </c>
      <c r="B446" s="52"/>
      <c r="C446" s="34" t="s">
        <v>5</v>
      </c>
      <c r="D446" s="271" t="s">
        <v>9</v>
      </c>
      <c r="E446" s="271"/>
      <c r="F446" s="179" t="s">
        <v>7</v>
      </c>
      <c r="G446" s="18"/>
    </row>
    <row r="447" spans="1:9" ht="15.95" customHeight="1">
      <c r="A447" s="279"/>
      <c r="B447" s="53"/>
      <c r="C447" s="178">
        <f>NOMINA!C29</f>
        <v>0</v>
      </c>
      <c r="D447" s="284">
        <f>NOMINA!D29</f>
        <v>0</v>
      </c>
      <c r="E447" s="284"/>
      <c r="F447" s="181">
        <f>NOMINA!F29</f>
        <v>0</v>
      </c>
      <c r="G447" s="18"/>
    </row>
    <row r="448" spans="1:9" s="16" customFormat="1" ht="15.95" customHeight="1">
      <c r="A448" s="275" t="s">
        <v>35</v>
      </c>
      <c r="B448" s="282" t="s">
        <v>37</v>
      </c>
      <c r="C448" s="30" t="s">
        <v>84</v>
      </c>
      <c r="D448" s="30" t="s">
        <v>82</v>
      </c>
      <c r="E448" s="30" t="s">
        <v>83</v>
      </c>
      <c r="F448" s="180" t="s">
        <v>38</v>
      </c>
      <c r="G448" s="31"/>
      <c r="I448" s="17"/>
    </row>
    <row r="449" spans="1:7" s="16" customFormat="1" ht="15.95" customHeight="1">
      <c r="A449" s="276"/>
      <c r="B449" s="283"/>
      <c r="C449" s="32" t="s">
        <v>33</v>
      </c>
      <c r="D449" s="32" t="s">
        <v>33</v>
      </c>
      <c r="E449" s="32" t="s">
        <v>33</v>
      </c>
      <c r="F449" s="46" t="s">
        <v>33</v>
      </c>
      <c r="G449" s="31"/>
    </row>
    <row r="450" spans="1:7" ht="17.100000000000001" customHeight="1">
      <c r="A450" s="271" t="s">
        <v>45</v>
      </c>
      <c r="B450" s="34" t="s">
        <v>36</v>
      </c>
      <c r="C450" s="35">
        <f>IF(LEN!C28=0," ",LEN!C28)</f>
        <v>57</v>
      </c>
      <c r="D450" s="35" t="str">
        <f>IF(LEN!D28=0," ",LEN!D28)</f>
        <v xml:space="preserve"> </v>
      </c>
      <c r="E450" s="35" t="str">
        <f>IF(LEN!E28=0," ",LEN!E28)</f>
        <v xml:space="preserve"> </v>
      </c>
      <c r="F450" s="35">
        <f>IF(LEN!F28=0," ",LEN!F28)</f>
        <v>19</v>
      </c>
      <c r="G450" s="18"/>
    </row>
    <row r="451" spans="1:7" ht="17.100000000000001" customHeight="1">
      <c r="A451" s="271"/>
      <c r="B451" s="34" t="s">
        <v>10</v>
      </c>
      <c r="C451" s="35">
        <f>IF(ING!C28=0," ",ING!C28)</f>
        <v>68</v>
      </c>
      <c r="D451" s="35" t="str">
        <f>IF(ING!D28=0," ",ING!D28)</f>
        <v xml:space="preserve"> </v>
      </c>
      <c r="E451" s="35" t="str">
        <f>IF(ING!E28=0," ",ING!E28)</f>
        <v xml:space="preserve"> </v>
      </c>
      <c r="F451" s="35">
        <f>IF(ING!F28=0," ",ING!F28)</f>
        <v>23</v>
      </c>
      <c r="G451" s="18"/>
    </row>
    <row r="452" spans="1:7" ht="17.100000000000001" customHeight="1">
      <c r="A452" s="271"/>
      <c r="B452" s="34" t="s">
        <v>61</v>
      </c>
      <c r="C452" s="35">
        <f>IF('C.SOC'!C28=0," ",'C.SOC'!C28)</f>
        <v>66</v>
      </c>
      <c r="D452" s="35" t="str">
        <f>IF('C.SOC'!D28=0," ",'C.SOC'!D28)</f>
        <v xml:space="preserve"> </v>
      </c>
      <c r="E452" s="35" t="str">
        <f>IF('C.SOC'!E28=0," ",'C.SOC'!E28)</f>
        <v xml:space="preserve"> </v>
      </c>
      <c r="F452" s="35">
        <f>IF('C.SOC'!F28=0," ",'C.SOC'!F28)</f>
        <v>22</v>
      </c>
      <c r="G452" s="18"/>
    </row>
    <row r="453" spans="1:7" ht="17.100000000000001" customHeight="1">
      <c r="A453" s="271"/>
      <c r="B453" s="34" t="s">
        <v>43</v>
      </c>
      <c r="C453" s="35">
        <f>IF('E. FIS.'!C28=0," ",'E. FIS.'!C28)</f>
        <v>79</v>
      </c>
      <c r="D453" s="35" t="str">
        <f>IF('E. FIS.'!D28=0," ",'E. FIS.'!D28)</f>
        <v xml:space="preserve"> </v>
      </c>
      <c r="E453" s="35" t="str">
        <f>IF('E. FIS.'!E28=0," ",'E. FIS.'!E28)</f>
        <v xml:space="preserve"> </v>
      </c>
      <c r="F453" s="35">
        <f>IF('E. FIS.'!F28=0," ",'E. FIS.'!F28)</f>
        <v>26</v>
      </c>
      <c r="G453" s="18"/>
    </row>
    <row r="454" spans="1:7" ht="17.100000000000001" customHeight="1">
      <c r="A454" s="271"/>
      <c r="B454" s="34" t="s">
        <v>44</v>
      </c>
      <c r="C454" s="35">
        <f>IF(MUS.!C28=0," ",MUS.!C28)</f>
        <v>77</v>
      </c>
      <c r="D454" s="35" t="str">
        <f>IF(MUS.!D28=0," ",MUS.!D28)</f>
        <v xml:space="preserve"> </v>
      </c>
      <c r="E454" s="35" t="str">
        <f>IF(MUS.!E28=0," ",MUS.!E28)</f>
        <v xml:space="preserve"> </v>
      </c>
      <c r="F454" s="35">
        <f>IF(MUS.!F28=0," ",MUS.!F28)</f>
        <v>26</v>
      </c>
      <c r="G454" s="18"/>
    </row>
    <row r="455" spans="1:7" ht="17.100000000000001" customHeight="1">
      <c r="A455" s="271"/>
      <c r="B455" s="34" t="s">
        <v>11</v>
      </c>
      <c r="C455" s="35">
        <f>IF('A.PL. '!C28=0," ",'A.PL. '!C28)</f>
        <v>86</v>
      </c>
      <c r="D455" s="35" t="str">
        <f>IF('A.PL. '!D28=0," ",'A.PL. '!D28)</f>
        <v xml:space="preserve"> </v>
      </c>
      <c r="E455" s="35" t="str">
        <f>IF('A.PL. '!E28=0," ",'A.PL. '!E28)</f>
        <v xml:space="preserve"> </v>
      </c>
      <c r="F455" s="35">
        <f>IF('A.PL. '!F28=0," ",'A.PL. '!F28)</f>
        <v>29</v>
      </c>
      <c r="G455" s="18"/>
    </row>
    <row r="456" spans="1:7" ht="17.100000000000001" customHeight="1">
      <c r="A456" s="272" t="s">
        <v>64</v>
      </c>
      <c r="B456" s="34" t="s">
        <v>62</v>
      </c>
      <c r="C456" s="35">
        <f>IF(MAT!C28=0," ",MAT!C28)</f>
        <v>54</v>
      </c>
      <c r="D456" s="35" t="str">
        <f>IF(MAT!D28=0," ",MAT!D28)</f>
        <v xml:space="preserve"> </v>
      </c>
      <c r="E456" s="35" t="str">
        <f>IF(MAT!E28=0," ",MAT!E28)</f>
        <v xml:space="preserve"> </v>
      </c>
      <c r="F456" s="35">
        <f>IF(MAT!F28=0," ",MAT!F28)</f>
        <v>18</v>
      </c>
      <c r="G456" s="18"/>
    </row>
    <row r="457" spans="1:7" ht="17.100000000000001" customHeight="1">
      <c r="A457" s="272"/>
      <c r="B457" s="34" t="s">
        <v>101</v>
      </c>
      <c r="C457" s="35">
        <f>IF('T. TEC. GRAL'!C28=0," ",'T. TEC. GRAL'!C28)</f>
        <v>60</v>
      </c>
      <c r="D457" s="35" t="str">
        <f>IF('T. TEC. GRAL'!D28=0," ",'T. TEC. GRAL'!D28)</f>
        <v xml:space="preserve"> </v>
      </c>
      <c r="E457" s="35" t="str">
        <f>IF('T. TEC. GRAL'!E28=0," ",'T. TEC. GRAL'!E28)</f>
        <v xml:space="preserve"> </v>
      </c>
      <c r="F457" s="35">
        <f>IF('T. TEC. GRAL'!F28=0," ",'T. TEC. GRAL'!F28)</f>
        <v>20</v>
      </c>
      <c r="G457" s="18"/>
    </row>
    <row r="458" spans="1:7" ht="24" customHeight="1">
      <c r="A458" s="142" t="s">
        <v>79</v>
      </c>
      <c r="B458" s="34" t="s">
        <v>63</v>
      </c>
      <c r="C458" s="35">
        <f>IF('BIO-GEO'!C28=0," ",'BIO-GEO'!C28)</f>
        <v>73</v>
      </c>
      <c r="D458" s="35" t="str">
        <f>IF('BIO-GEO'!D28=0," ",'BIO-GEO'!D28)</f>
        <v xml:space="preserve"> </v>
      </c>
      <c r="E458" s="35" t="str">
        <f>IF('BIO-GEO'!E28=0," ",'BIO-GEO'!E28)</f>
        <v xml:space="preserve"> </v>
      </c>
      <c r="F458" s="35">
        <f>IF('BIO-GEO'!F28=0," ",'BIO-GEO'!F28)</f>
        <v>24</v>
      </c>
      <c r="G458" s="18"/>
    </row>
    <row r="459" spans="1:7" ht="17.100000000000001" customHeight="1">
      <c r="A459" s="271" t="s">
        <v>39</v>
      </c>
      <c r="B459" s="34" t="s">
        <v>54</v>
      </c>
      <c r="C459" s="35">
        <f>IF(PSI!C28=0," ",PSI!C28)</f>
        <v>85</v>
      </c>
      <c r="D459" s="35" t="str">
        <f>IF(PSI!D28=0," ",PSI!D28)</f>
        <v xml:space="preserve"> </v>
      </c>
      <c r="E459" s="35" t="str">
        <f>IF(PSI!E28=0," ",PSI!E28)</f>
        <v xml:space="preserve"> </v>
      </c>
      <c r="F459" s="35">
        <f>IF(PSI!F28=0," ",PSI!F28)</f>
        <v>28</v>
      </c>
      <c r="G459" s="18"/>
    </row>
    <row r="460" spans="1:7" ht="17.100000000000001" customHeight="1">
      <c r="A460" s="271"/>
      <c r="B460" s="34" t="s">
        <v>55</v>
      </c>
      <c r="C460" s="35">
        <f>IF('REL.'!C28=0," ",'REL.'!C28)</f>
        <v>78.666666666666657</v>
      </c>
      <c r="D460" s="35" t="str">
        <f>IF('REL.'!D28=0," ",'REL.'!D28)</f>
        <v xml:space="preserve"> </v>
      </c>
      <c r="E460" s="35" t="str">
        <f>IF('REL.'!E28=0," ",'REL.'!E28)</f>
        <v xml:space="preserve"> </v>
      </c>
      <c r="F460" s="35">
        <f>IF('REL.'!F28=0," ",'REL.'!F28)</f>
        <v>26</v>
      </c>
      <c r="G460" s="18"/>
    </row>
    <row r="461" spans="1:7" ht="17.100000000000001" customHeight="1">
      <c r="A461" s="143"/>
      <c r="B461" s="144"/>
      <c r="C461" s="38"/>
      <c r="D461" s="38"/>
      <c r="E461" s="38"/>
      <c r="F461" s="38"/>
      <c r="G461" s="18"/>
    </row>
    <row r="462" spans="1:7" ht="15.95" customHeight="1">
      <c r="A462" s="143"/>
      <c r="B462" s="144"/>
      <c r="C462" s="38"/>
      <c r="D462" s="38"/>
      <c r="E462" s="38"/>
      <c r="F462" s="38"/>
      <c r="G462" s="18"/>
    </row>
    <row r="463" spans="1:7" ht="19.5" customHeight="1">
      <c r="A463" s="143"/>
      <c r="B463" s="144"/>
      <c r="C463" s="38"/>
      <c r="D463" s="38"/>
      <c r="E463" s="38"/>
      <c r="F463" s="38"/>
      <c r="G463" s="18"/>
    </row>
    <row r="464" spans="1:7" ht="17.25" customHeight="1">
      <c r="A464" s="18"/>
      <c r="B464" s="18"/>
      <c r="C464" s="278" t="s">
        <v>42</v>
      </c>
      <c r="D464" s="278"/>
      <c r="E464" s="278"/>
      <c r="F464" s="18"/>
      <c r="G464" s="18"/>
    </row>
    <row r="465" spans="1:9" ht="15.95" customHeight="1">
      <c r="A465" s="270" t="str">
        <f t="shared" ref="A465" si="22">$A$3</f>
        <v>U. E. ABAROA B</v>
      </c>
      <c r="B465" s="270"/>
      <c r="C465" s="18"/>
      <c r="D465" s="18"/>
      <c r="E465" s="18"/>
      <c r="F465" s="182" t="str">
        <f>NOMINA!$D$2</f>
        <v>GESTION: 2026</v>
      </c>
      <c r="G465" s="18"/>
    </row>
    <row r="466" spans="1:9" s="14" customFormat="1" ht="21.95" customHeight="1">
      <c r="A466" s="273" t="str">
        <f>NOMINA!$B$2</f>
        <v>CURSO 2A</v>
      </c>
      <c r="B466" s="274"/>
      <c r="C466" s="280" t="str">
        <f>NOMINA!B30</f>
        <v>QUENALLATA CESPEDES LUMAIDA YANISS</v>
      </c>
      <c r="D466" s="281"/>
      <c r="E466" s="281"/>
      <c r="F466" s="281"/>
      <c r="G466" s="49"/>
    </row>
    <row r="467" spans="1:9" ht="15.95" customHeight="1">
      <c r="A467" s="279">
        <f>NOMINA!A30</f>
        <v>25</v>
      </c>
      <c r="B467" s="52"/>
      <c r="C467" s="34" t="s">
        <v>5</v>
      </c>
      <c r="D467" s="271" t="s">
        <v>9</v>
      </c>
      <c r="E467" s="271"/>
      <c r="F467" s="179" t="s">
        <v>7</v>
      </c>
      <c r="G467" s="18"/>
    </row>
    <row r="468" spans="1:9" ht="15.95" customHeight="1">
      <c r="A468" s="279"/>
      <c r="B468" s="53"/>
      <c r="C468" s="178">
        <f>NOMINA!C30</f>
        <v>0</v>
      </c>
      <c r="D468" s="284">
        <f>NOMINA!D30</f>
        <v>0</v>
      </c>
      <c r="E468" s="284"/>
      <c r="F468" s="181">
        <f>NOMINA!F30</f>
        <v>0</v>
      </c>
      <c r="G468" s="18"/>
    </row>
    <row r="469" spans="1:9" s="16" customFormat="1" ht="15.95" customHeight="1">
      <c r="A469" s="275" t="s">
        <v>35</v>
      </c>
      <c r="B469" s="282" t="s">
        <v>37</v>
      </c>
      <c r="C469" s="30" t="s">
        <v>84</v>
      </c>
      <c r="D469" s="30" t="s">
        <v>82</v>
      </c>
      <c r="E469" s="30" t="s">
        <v>83</v>
      </c>
      <c r="F469" s="180" t="s">
        <v>38</v>
      </c>
      <c r="G469" s="31"/>
      <c r="I469" s="17"/>
    </row>
    <row r="470" spans="1:9" s="16" customFormat="1" ht="15.95" customHeight="1">
      <c r="A470" s="276"/>
      <c r="B470" s="283"/>
      <c r="C470" s="32" t="s">
        <v>33</v>
      </c>
      <c r="D470" s="32" t="s">
        <v>33</v>
      </c>
      <c r="E470" s="32" t="s">
        <v>33</v>
      </c>
      <c r="F470" s="46" t="s">
        <v>33</v>
      </c>
      <c r="G470" s="31"/>
    </row>
    <row r="471" spans="1:9" ht="17.100000000000001" customHeight="1">
      <c r="A471" s="271" t="s">
        <v>45</v>
      </c>
      <c r="B471" s="34" t="s">
        <v>36</v>
      </c>
      <c r="C471" s="35">
        <f>IF(LEN!C29=0," ",LEN!C29)</f>
        <v>86</v>
      </c>
      <c r="D471" s="35" t="str">
        <f>IF(LEN!D29=0," ",LEN!D29)</f>
        <v xml:space="preserve"> </v>
      </c>
      <c r="E471" s="35" t="str">
        <f>IF(LEN!E29=0," ",LEN!E29)</f>
        <v xml:space="preserve"> </v>
      </c>
      <c r="F471" s="35">
        <f>IF(LEN!F29=0," ",LEN!F29)</f>
        <v>29</v>
      </c>
      <c r="G471" s="18"/>
    </row>
    <row r="472" spans="1:9" ht="17.100000000000001" customHeight="1">
      <c r="A472" s="271"/>
      <c r="B472" s="34" t="s">
        <v>10</v>
      </c>
      <c r="C472" s="35">
        <f>IF(ING!C29=0," ",ING!C29)</f>
        <v>92</v>
      </c>
      <c r="D472" s="35" t="str">
        <f>IF(ING!D29=0," ",ING!D29)</f>
        <v xml:space="preserve"> </v>
      </c>
      <c r="E472" s="35" t="str">
        <f>IF(ING!E29=0," ",ING!E29)</f>
        <v xml:space="preserve"> </v>
      </c>
      <c r="F472" s="35">
        <f>IF(ING!F29=0," ",ING!F29)</f>
        <v>31</v>
      </c>
      <c r="G472" s="18"/>
    </row>
    <row r="473" spans="1:9" ht="17.100000000000001" customHeight="1">
      <c r="A473" s="271"/>
      <c r="B473" s="34" t="s">
        <v>61</v>
      </c>
      <c r="C473" s="35">
        <f>IF('C.SOC'!C29=0," ",'C.SOC'!C29)</f>
        <v>70</v>
      </c>
      <c r="D473" s="35" t="str">
        <f>IF('C.SOC'!D29=0," ",'C.SOC'!D29)</f>
        <v xml:space="preserve"> </v>
      </c>
      <c r="E473" s="35" t="str">
        <f>IF('C.SOC'!E29=0," ",'C.SOC'!E29)</f>
        <v xml:space="preserve"> </v>
      </c>
      <c r="F473" s="35">
        <f>IF('C.SOC'!F29=0," ",'C.SOC'!F29)</f>
        <v>23</v>
      </c>
      <c r="G473" s="18"/>
    </row>
    <row r="474" spans="1:9" ht="17.100000000000001" customHeight="1">
      <c r="A474" s="271"/>
      <c r="B474" s="34" t="s">
        <v>43</v>
      </c>
      <c r="C474" s="35">
        <f>IF('E. FIS.'!C29=0," ",'E. FIS.'!C29)</f>
        <v>63</v>
      </c>
      <c r="D474" s="35" t="str">
        <f>IF('E. FIS.'!D29=0," ",'E. FIS.'!D29)</f>
        <v xml:space="preserve"> </v>
      </c>
      <c r="E474" s="35" t="str">
        <f>IF('E. FIS.'!E29=0," ",'E. FIS.'!E29)</f>
        <v xml:space="preserve"> </v>
      </c>
      <c r="F474" s="35">
        <f>IF('E. FIS.'!F29=0," ",'E. FIS.'!F29)</f>
        <v>21</v>
      </c>
      <c r="G474" s="18"/>
    </row>
    <row r="475" spans="1:9" ht="17.100000000000001" customHeight="1">
      <c r="A475" s="271"/>
      <c r="B475" s="34" t="s">
        <v>44</v>
      </c>
      <c r="C475" s="35">
        <f>IF(MUS.!C29=0," ",MUS.!C29)</f>
        <v>100</v>
      </c>
      <c r="D475" s="35" t="str">
        <f>IF(MUS.!D29=0," ",MUS.!D29)</f>
        <v xml:space="preserve"> </v>
      </c>
      <c r="E475" s="35" t="str">
        <f>IF(MUS.!E29=0," ",MUS.!E29)</f>
        <v xml:space="preserve"> </v>
      </c>
      <c r="F475" s="35">
        <f>IF(MUS.!F29=0," ",MUS.!F29)</f>
        <v>33</v>
      </c>
      <c r="G475" s="18"/>
    </row>
    <row r="476" spans="1:9" ht="17.100000000000001" customHeight="1">
      <c r="A476" s="271"/>
      <c r="B476" s="34" t="s">
        <v>11</v>
      </c>
      <c r="C476" s="35">
        <f>IF('A.PL. '!C29=0," ",'A.PL. '!C29)</f>
        <v>62</v>
      </c>
      <c r="D476" s="35" t="str">
        <f>IF('A.PL. '!D29=0," ",'A.PL. '!D29)</f>
        <v xml:space="preserve"> </v>
      </c>
      <c r="E476" s="35" t="str">
        <f>IF('A.PL. '!E29=0," ",'A.PL. '!E29)</f>
        <v xml:space="preserve"> </v>
      </c>
      <c r="F476" s="35">
        <f>IF('A.PL. '!F29=0," ",'A.PL. '!F29)</f>
        <v>21</v>
      </c>
      <c r="G476" s="18"/>
    </row>
    <row r="477" spans="1:9" ht="17.100000000000001" customHeight="1">
      <c r="A477" s="272" t="s">
        <v>64</v>
      </c>
      <c r="B477" s="34" t="s">
        <v>62</v>
      </c>
      <c r="C477" s="35">
        <f>IF(MAT!C29=0," ",MAT!C29)</f>
        <v>97</v>
      </c>
      <c r="D477" s="35" t="str">
        <f>IF(MAT!D29=0," ",MAT!D29)</f>
        <v xml:space="preserve"> </v>
      </c>
      <c r="E477" s="35" t="str">
        <f>IF(MAT!E29=0," ",MAT!E29)</f>
        <v xml:space="preserve"> </v>
      </c>
      <c r="F477" s="35">
        <f>IF(MAT!F29=0," ",MAT!F29)</f>
        <v>32</v>
      </c>
      <c r="G477" s="18"/>
    </row>
    <row r="478" spans="1:9" ht="17.100000000000001" customHeight="1">
      <c r="A478" s="272"/>
      <c r="B478" s="34" t="s">
        <v>101</v>
      </c>
      <c r="C478" s="35">
        <f>IF('T. TEC. GRAL'!C29=0," ",'T. TEC. GRAL'!C29)</f>
        <v>75</v>
      </c>
      <c r="D478" s="35" t="str">
        <f>IF('T. TEC. GRAL'!D29=0," ",'T. TEC. GRAL'!D29)</f>
        <v xml:space="preserve"> </v>
      </c>
      <c r="E478" s="35" t="str">
        <f>IF('T. TEC. GRAL'!E29=0," ",'T. TEC. GRAL'!E29)</f>
        <v xml:space="preserve"> </v>
      </c>
      <c r="F478" s="35">
        <f>IF('T. TEC. GRAL'!F29=0," ",'T. TEC. GRAL'!F29)</f>
        <v>25</v>
      </c>
      <c r="G478" s="18"/>
    </row>
    <row r="479" spans="1:9" ht="24" customHeight="1">
      <c r="A479" s="142" t="s">
        <v>79</v>
      </c>
      <c r="B479" s="34" t="s">
        <v>63</v>
      </c>
      <c r="C479" s="35">
        <f>IF('BIO-GEO'!C29=0," ",'BIO-GEO'!C29)</f>
        <v>87</v>
      </c>
      <c r="D479" s="35" t="str">
        <f>IF('BIO-GEO'!D29=0," ",'BIO-GEO'!D29)</f>
        <v xml:space="preserve"> </v>
      </c>
      <c r="E479" s="35" t="str">
        <f>IF('BIO-GEO'!E29=0," ",'BIO-GEO'!E29)</f>
        <v xml:space="preserve"> </v>
      </c>
      <c r="F479" s="35">
        <f>IF('BIO-GEO'!F29=0," ",'BIO-GEO'!F29)</f>
        <v>29</v>
      </c>
      <c r="G479" s="18"/>
    </row>
    <row r="480" spans="1:9" ht="17.100000000000001" customHeight="1">
      <c r="A480" s="271" t="s">
        <v>39</v>
      </c>
      <c r="B480" s="34" t="s">
        <v>54</v>
      </c>
      <c r="C480" s="35">
        <f>IF(PSI!C29=0," ",PSI!C29)</f>
        <v>87</v>
      </c>
      <c r="D480" s="35" t="str">
        <f>IF(PSI!D29=0," ",PSI!D29)</f>
        <v xml:space="preserve"> </v>
      </c>
      <c r="E480" s="35" t="str">
        <f>IF(PSI!E29=0," ",PSI!E29)</f>
        <v xml:space="preserve"> </v>
      </c>
      <c r="F480" s="35">
        <f>IF(PSI!F29=0," ",PSI!F29)</f>
        <v>29</v>
      </c>
      <c r="G480" s="18"/>
    </row>
    <row r="481" spans="1:9" ht="17.100000000000001" customHeight="1">
      <c r="A481" s="271"/>
      <c r="B481" s="34" t="s">
        <v>55</v>
      </c>
      <c r="C481" s="35">
        <f>IF('REL.'!C29=0," ",'REL.'!C29)</f>
        <v>73.166666666666657</v>
      </c>
      <c r="D481" s="35" t="str">
        <f>IF('REL.'!D29=0," ",'REL.'!D29)</f>
        <v xml:space="preserve"> </v>
      </c>
      <c r="E481" s="35" t="str">
        <f>IF('REL.'!E29=0," ",'REL.'!E29)</f>
        <v xml:space="preserve"> </v>
      </c>
      <c r="F481" s="35">
        <f>IF('REL.'!F29=0," ",'REL.'!F29)</f>
        <v>24</v>
      </c>
      <c r="G481" s="18"/>
    </row>
    <row r="482" spans="1:9" ht="15.95" customHeight="1">
      <c r="A482" s="143"/>
      <c r="B482" s="144"/>
      <c r="C482" s="38"/>
      <c r="D482" s="38"/>
      <c r="E482" s="38"/>
      <c r="F482" s="38"/>
      <c r="G482" s="18"/>
    </row>
    <row r="483" spans="1:9" ht="15.75" customHeight="1">
      <c r="A483" s="18"/>
      <c r="B483" s="18"/>
      <c r="C483" s="278" t="s">
        <v>42</v>
      </c>
      <c r="D483" s="278"/>
      <c r="E483" s="278"/>
      <c r="F483" s="18"/>
      <c r="G483" s="18"/>
    </row>
    <row r="484" spans="1:9" ht="15.95" customHeight="1">
      <c r="A484" s="270" t="str">
        <f t="shared" ref="A484" si="23">$A$3</f>
        <v>U. E. ABAROA B</v>
      </c>
      <c r="B484" s="270"/>
      <c r="C484" s="18"/>
      <c r="D484" s="18"/>
      <c r="E484" s="18"/>
      <c r="F484" s="182" t="str">
        <f>NOMINA!$D$2</f>
        <v>GESTION: 2026</v>
      </c>
      <c r="G484" s="18"/>
    </row>
    <row r="485" spans="1:9" s="14" customFormat="1" ht="21.95" customHeight="1">
      <c r="A485" s="273" t="str">
        <f>NOMINA!$B$2</f>
        <v>CURSO 2A</v>
      </c>
      <c r="B485" s="274"/>
      <c r="C485" s="280" t="str">
        <f>NOMINA!B31</f>
        <v>QUISPE ESCARZA CIELO</v>
      </c>
      <c r="D485" s="281"/>
      <c r="E485" s="281"/>
      <c r="F485" s="281"/>
      <c r="G485" s="49"/>
    </row>
    <row r="486" spans="1:9" ht="15.95" customHeight="1">
      <c r="A486" s="279">
        <f>NOMINA!A31</f>
        <v>26</v>
      </c>
      <c r="B486" s="52"/>
      <c r="C486" s="34" t="s">
        <v>5</v>
      </c>
      <c r="D486" s="271" t="s">
        <v>9</v>
      </c>
      <c r="E486" s="271"/>
      <c r="F486" s="179" t="s">
        <v>7</v>
      </c>
      <c r="G486" s="18"/>
    </row>
    <row r="487" spans="1:9" ht="15.95" customHeight="1">
      <c r="A487" s="279"/>
      <c r="B487" s="53"/>
      <c r="C487" s="178">
        <f>NOMINA!C31</f>
        <v>0</v>
      </c>
      <c r="D487" s="284">
        <f>NOMINA!D31</f>
        <v>0</v>
      </c>
      <c r="E487" s="284"/>
      <c r="F487" s="181">
        <f>NOMINA!F31</f>
        <v>0</v>
      </c>
      <c r="G487" s="18"/>
    </row>
    <row r="488" spans="1:9" s="16" customFormat="1" ht="15.95" customHeight="1">
      <c r="A488" s="275" t="s">
        <v>35</v>
      </c>
      <c r="B488" s="282" t="s">
        <v>37</v>
      </c>
      <c r="C488" s="30" t="s">
        <v>84</v>
      </c>
      <c r="D488" s="30" t="s">
        <v>82</v>
      </c>
      <c r="E488" s="30" t="s">
        <v>83</v>
      </c>
      <c r="F488" s="180" t="s">
        <v>38</v>
      </c>
      <c r="G488" s="31"/>
      <c r="I488" s="17"/>
    </row>
    <row r="489" spans="1:9" s="16" customFormat="1" ht="15.95" customHeight="1">
      <c r="A489" s="276"/>
      <c r="B489" s="283"/>
      <c r="C489" s="32" t="s">
        <v>33</v>
      </c>
      <c r="D489" s="32" t="s">
        <v>33</v>
      </c>
      <c r="E489" s="32" t="s">
        <v>33</v>
      </c>
      <c r="F489" s="46" t="s">
        <v>33</v>
      </c>
      <c r="G489" s="31"/>
    </row>
    <row r="490" spans="1:9" ht="17.100000000000001" customHeight="1">
      <c r="A490" s="271" t="s">
        <v>45</v>
      </c>
      <c r="B490" s="34" t="s">
        <v>36</v>
      </c>
      <c r="C490" s="35">
        <f>IF(LEN!C30=0," ",LEN!C30)</f>
        <v>43</v>
      </c>
      <c r="D490" s="35" t="str">
        <f>IF(LEN!D30=0," ",LEN!D30)</f>
        <v xml:space="preserve"> </v>
      </c>
      <c r="E490" s="35" t="str">
        <f>IF(LEN!E30=0," ",LEN!E30)</f>
        <v xml:space="preserve"> </v>
      </c>
      <c r="F490" s="35">
        <f>IF(LEN!F30=0," ",LEN!F30)</f>
        <v>14</v>
      </c>
      <c r="G490" s="18"/>
    </row>
    <row r="491" spans="1:9" ht="17.100000000000001" customHeight="1">
      <c r="A491" s="271"/>
      <c r="B491" s="34" t="s">
        <v>10</v>
      </c>
      <c r="C491" s="35">
        <f>IF(ING!C30=0," ",ING!C30)</f>
        <v>46</v>
      </c>
      <c r="D491" s="35" t="str">
        <f>IF(ING!D30=0," ",ING!D30)</f>
        <v xml:space="preserve"> </v>
      </c>
      <c r="E491" s="35" t="str">
        <f>IF(ING!E30=0," ",ING!E30)</f>
        <v xml:space="preserve"> </v>
      </c>
      <c r="F491" s="35">
        <f>IF(ING!F30=0," ",ING!F30)</f>
        <v>15</v>
      </c>
      <c r="G491" s="18"/>
    </row>
    <row r="492" spans="1:9" ht="17.100000000000001" customHeight="1">
      <c r="A492" s="271"/>
      <c r="B492" s="34" t="s">
        <v>61</v>
      </c>
      <c r="C492" s="35">
        <f>IF('C.SOC'!C30=0," ",'C.SOC'!C30)</f>
        <v>40</v>
      </c>
      <c r="D492" s="35" t="str">
        <f>IF('C.SOC'!D30=0," ",'C.SOC'!D30)</f>
        <v xml:space="preserve"> </v>
      </c>
      <c r="E492" s="35" t="str">
        <f>IF('C.SOC'!E30=0," ",'C.SOC'!E30)</f>
        <v xml:space="preserve"> </v>
      </c>
      <c r="F492" s="35">
        <f>IF('C.SOC'!F30=0," ",'C.SOC'!F30)</f>
        <v>13</v>
      </c>
      <c r="G492" s="18"/>
    </row>
    <row r="493" spans="1:9" ht="17.100000000000001" customHeight="1">
      <c r="A493" s="271"/>
      <c r="B493" s="34" t="s">
        <v>43</v>
      </c>
      <c r="C493" s="35">
        <f>IF('E. FIS.'!C30=0," ",'E. FIS.'!C30)</f>
        <v>59</v>
      </c>
      <c r="D493" s="35" t="str">
        <f>IF('E. FIS.'!D30=0," ",'E. FIS.'!D30)</f>
        <v xml:space="preserve"> </v>
      </c>
      <c r="E493" s="35" t="str">
        <f>IF('E. FIS.'!E30=0," ",'E. FIS.'!E30)</f>
        <v xml:space="preserve"> </v>
      </c>
      <c r="F493" s="35">
        <f>IF('E. FIS.'!F30=0," ",'E. FIS.'!F30)</f>
        <v>20</v>
      </c>
      <c r="G493" s="18"/>
    </row>
    <row r="494" spans="1:9" ht="17.100000000000001" customHeight="1">
      <c r="A494" s="271"/>
      <c r="B494" s="34" t="s">
        <v>44</v>
      </c>
      <c r="C494" s="35">
        <f>IF(MUS.!C30=0," ",MUS.!C30)</f>
        <v>78</v>
      </c>
      <c r="D494" s="35" t="str">
        <f>IF(MUS.!D30=0," ",MUS.!D30)</f>
        <v xml:space="preserve"> </v>
      </c>
      <c r="E494" s="35" t="str">
        <f>IF(MUS.!E30=0," ",MUS.!E30)</f>
        <v xml:space="preserve"> </v>
      </c>
      <c r="F494" s="35">
        <f>IF(MUS.!F30=0," ",MUS.!F30)</f>
        <v>26</v>
      </c>
      <c r="G494" s="18"/>
    </row>
    <row r="495" spans="1:9" ht="17.100000000000001" customHeight="1">
      <c r="A495" s="271"/>
      <c r="B495" s="34" t="s">
        <v>11</v>
      </c>
      <c r="C495" s="35">
        <f>IF('A.PL. '!C30=0," ",'A.PL. '!C30)</f>
        <v>58</v>
      </c>
      <c r="D495" s="35" t="str">
        <f>IF('A.PL. '!D30=0," ",'A.PL. '!D30)</f>
        <v xml:space="preserve"> </v>
      </c>
      <c r="E495" s="35" t="str">
        <f>IF('A.PL. '!E30=0," ",'A.PL. '!E30)</f>
        <v xml:space="preserve"> </v>
      </c>
      <c r="F495" s="35">
        <f>IF('A.PL. '!F30=0," ",'A.PL. '!F30)</f>
        <v>19</v>
      </c>
      <c r="G495" s="18"/>
    </row>
    <row r="496" spans="1:9" ht="17.100000000000001" customHeight="1">
      <c r="A496" s="272" t="s">
        <v>64</v>
      </c>
      <c r="B496" s="34" t="s">
        <v>62</v>
      </c>
      <c r="C496" s="35">
        <f>IF(MAT!C30=0," ",MAT!C30)</f>
        <v>53</v>
      </c>
      <c r="D496" s="35" t="str">
        <f>IF(MAT!D30=0," ",MAT!D30)</f>
        <v xml:space="preserve"> </v>
      </c>
      <c r="E496" s="35" t="str">
        <f>IF(MAT!E30=0," ",MAT!E30)</f>
        <v xml:space="preserve"> </v>
      </c>
      <c r="F496" s="35">
        <f>IF(MAT!F30=0," ",MAT!F30)</f>
        <v>18</v>
      </c>
      <c r="G496" s="18"/>
    </row>
    <row r="497" spans="1:9" ht="17.100000000000001" customHeight="1">
      <c r="A497" s="272"/>
      <c r="B497" s="34" t="s">
        <v>101</v>
      </c>
      <c r="C497" s="35">
        <f>IF('T. TEC. GRAL'!C30=0," ",'T. TEC. GRAL'!C30)</f>
        <v>64</v>
      </c>
      <c r="D497" s="35" t="str">
        <f>IF('T. TEC. GRAL'!D30=0," ",'T. TEC. GRAL'!D30)</f>
        <v xml:space="preserve"> </v>
      </c>
      <c r="E497" s="35" t="str">
        <f>IF('T. TEC. GRAL'!E30=0," ",'T. TEC. GRAL'!E30)</f>
        <v xml:space="preserve"> </v>
      </c>
      <c r="F497" s="35">
        <f>IF('T. TEC. GRAL'!F30=0," ",'T. TEC. GRAL'!F30)</f>
        <v>21</v>
      </c>
      <c r="G497" s="18"/>
    </row>
    <row r="498" spans="1:9" ht="24" customHeight="1">
      <c r="A498" s="142" t="s">
        <v>79</v>
      </c>
      <c r="B498" s="34" t="s">
        <v>63</v>
      </c>
      <c r="C498" s="35">
        <f>IF('BIO-GEO'!C30=0," ",'BIO-GEO'!C30)</f>
        <v>71</v>
      </c>
      <c r="D498" s="35" t="str">
        <f>IF('BIO-GEO'!D30=0," ",'BIO-GEO'!D30)</f>
        <v xml:space="preserve"> </v>
      </c>
      <c r="E498" s="35" t="str">
        <f>IF('BIO-GEO'!E30=0," ",'BIO-GEO'!E30)</f>
        <v xml:space="preserve"> </v>
      </c>
      <c r="F498" s="35">
        <f>IF('BIO-GEO'!F30=0," ",'BIO-GEO'!F30)</f>
        <v>24</v>
      </c>
      <c r="G498" s="18"/>
    </row>
    <row r="499" spans="1:9" ht="17.100000000000001" customHeight="1">
      <c r="A499" s="271" t="s">
        <v>39</v>
      </c>
      <c r="B499" s="34" t="s">
        <v>54</v>
      </c>
      <c r="C499" s="35">
        <f>IF(PSI!C30=0," ",PSI!C30)</f>
        <v>38</v>
      </c>
      <c r="D499" s="35" t="str">
        <f>IF(PSI!D30=0," ",PSI!D30)</f>
        <v xml:space="preserve"> </v>
      </c>
      <c r="E499" s="35" t="str">
        <f>IF(PSI!E30=0," ",PSI!E30)</f>
        <v xml:space="preserve"> </v>
      </c>
      <c r="F499" s="35">
        <f>IF(PSI!F30=0," ",PSI!F30)</f>
        <v>13</v>
      </c>
      <c r="G499" s="18"/>
    </row>
    <row r="500" spans="1:9" ht="17.100000000000001" customHeight="1">
      <c r="A500" s="271"/>
      <c r="B500" s="34" t="s">
        <v>55</v>
      </c>
      <c r="C500" s="35">
        <f>IF('REL.'!C30=0," ",'REL.'!C30)</f>
        <v>55.416666666666664</v>
      </c>
      <c r="D500" s="35" t="str">
        <f>IF('REL.'!D30=0," ",'REL.'!D30)</f>
        <v xml:space="preserve"> </v>
      </c>
      <c r="E500" s="35" t="str">
        <f>IF('REL.'!E30=0," ",'REL.'!E30)</f>
        <v xml:space="preserve"> </v>
      </c>
      <c r="F500" s="35">
        <f>IF('REL.'!F30=0," ",'REL.'!F30)</f>
        <v>18</v>
      </c>
      <c r="G500" s="18"/>
    </row>
    <row r="501" spans="1:9" ht="15.95" customHeight="1">
      <c r="A501" s="143"/>
      <c r="B501" s="144"/>
      <c r="C501" s="38"/>
      <c r="D501" s="38"/>
      <c r="E501" s="38"/>
      <c r="F501" s="38"/>
      <c r="G501" s="18"/>
    </row>
    <row r="502" spans="1:9" ht="15.95" customHeight="1">
      <c r="A502" s="143"/>
      <c r="B502" s="144"/>
      <c r="C502" s="38"/>
      <c r="D502" s="38"/>
      <c r="E502" s="38"/>
      <c r="F502" s="38"/>
      <c r="G502" s="18"/>
    </row>
    <row r="503" spans="1:9" ht="22.5" customHeight="1">
      <c r="A503" s="143"/>
      <c r="B503" s="144"/>
      <c r="C503" s="38"/>
      <c r="D503" s="38"/>
      <c r="E503" s="38"/>
      <c r="F503" s="38"/>
      <c r="G503" s="18"/>
    </row>
    <row r="504" spans="1:9" ht="17.25" customHeight="1">
      <c r="A504" s="18"/>
      <c r="B504" s="18"/>
      <c r="C504" s="278" t="s">
        <v>42</v>
      </c>
      <c r="D504" s="278"/>
      <c r="E504" s="278"/>
      <c r="F504" s="18"/>
      <c r="G504" s="18"/>
    </row>
    <row r="505" spans="1:9" ht="15.95" customHeight="1">
      <c r="A505" s="270" t="str">
        <f t="shared" ref="A505" si="24">$A$3</f>
        <v>U. E. ABAROA B</v>
      </c>
      <c r="B505" s="270"/>
      <c r="C505" s="18"/>
      <c r="D505" s="18"/>
      <c r="E505" s="18"/>
      <c r="F505" s="182" t="str">
        <f>NOMINA!$D$2</f>
        <v>GESTION: 2026</v>
      </c>
      <c r="G505" s="18"/>
    </row>
    <row r="506" spans="1:9" s="14" customFormat="1" ht="21.95" customHeight="1">
      <c r="A506" s="273" t="str">
        <f>NOMINA!$B$2</f>
        <v>CURSO 2A</v>
      </c>
      <c r="B506" s="274"/>
      <c r="C506" s="280" t="str">
        <f>NOMINA!B32</f>
        <v>QUISPE MILAN ADRIAN ANTHONY</v>
      </c>
      <c r="D506" s="281"/>
      <c r="E506" s="281"/>
      <c r="F506" s="281"/>
      <c r="G506" s="49"/>
    </row>
    <row r="507" spans="1:9" ht="15.95" customHeight="1">
      <c r="A507" s="279">
        <f>NOMINA!A32</f>
        <v>27</v>
      </c>
      <c r="B507" s="52"/>
      <c r="C507" s="43" t="s">
        <v>5</v>
      </c>
      <c r="D507" s="271" t="s">
        <v>9</v>
      </c>
      <c r="E507" s="271"/>
      <c r="F507" s="179" t="s">
        <v>7</v>
      </c>
      <c r="G507" s="18"/>
    </row>
    <row r="508" spans="1:9" ht="15.95" customHeight="1">
      <c r="A508" s="279"/>
      <c r="B508" s="53"/>
      <c r="C508" s="178">
        <f>NOMINA!C32</f>
        <v>0</v>
      </c>
      <c r="D508" s="284">
        <f>NOMINA!D32</f>
        <v>0</v>
      </c>
      <c r="E508" s="284"/>
      <c r="F508" s="181">
        <f>NOMINA!F32</f>
        <v>0</v>
      </c>
      <c r="G508" s="18"/>
    </row>
    <row r="509" spans="1:9" s="16" customFormat="1" ht="15.95" customHeight="1">
      <c r="A509" s="275" t="s">
        <v>35</v>
      </c>
      <c r="B509" s="282" t="s">
        <v>37</v>
      </c>
      <c r="C509" s="30" t="s">
        <v>84</v>
      </c>
      <c r="D509" s="30" t="s">
        <v>82</v>
      </c>
      <c r="E509" s="30" t="s">
        <v>83</v>
      </c>
      <c r="F509" s="180" t="s">
        <v>38</v>
      </c>
      <c r="G509" s="31"/>
      <c r="I509" s="17"/>
    </row>
    <row r="510" spans="1:9" s="16" customFormat="1" ht="15.95" customHeight="1">
      <c r="A510" s="276"/>
      <c r="B510" s="283"/>
      <c r="C510" s="32" t="s">
        <v>33</v>
      </c>
      <c r="D510" s="32" t="s">
        <v>33</v>
      </c>
      <c r="E510" s="32" t="s">
        <v>33</v>
      </c>
      <c r="F510" s="46" t="s">
        <v>33</v>
      </c>
      <c r="G510" s="31"/>
    </row>
    <row r="511" spans="1:9" ht="17.100000000000001" customHeight="1">
      <c r="A511" s="271" t="s">
        <v>45</v>
      </c>
      <c r="B511" s="34" t="s">
        <v>36</v>
      </c>
      <c r="C511" s="35">
        <f>IF(LEN!C31=0," ",LEN!C31)</f>
        <v>47</v>
      </c>
      <c r="D511" s="35" t="str">
        <f>IF(LEN!D31=0," ",LEN!D31)</f>
        <v xml:space="preserve"> </v>
      </c>
      <c r="E511" s="35" t="str">
        <f>IF(LEN!E31=0," ",LEN!E31)</f>
        <v xml:space="preserve"> </v>
      </c>
      <c r="F511" s="35">
        <f>IF(LEN!F31=0," ",LEN!F31)</f>
        <v>16</v>
      </c>
      <c r="G511" s="18"/>
    </row>
    <row r="512" spans="1:9" ht="17.100000000000001" customHeight="1">
      <c r="A512" s="271"/>
      <c r="B512" s="34" t="s">
        <v>10</v>
      </c>
      <c r="C512" s="35">
        <f>IF(ING!C31=0," ",ING!C31)</f>
        <v>51</v>
      </c>
      <c r="D512" s="35" t="str">
        <f>IF(ING!D31=0," ",ING!D31)</f>
        <v xml:space="preserve"> </v>
      </c>
      <c r="E512" s="35" t="str">
        <f>IF(ING!E31=0," ",ING!E31)</f>
        <v xml:space="preserve"> </v>
      </c>
      <c r="F512" s="35">
        <f>IF(ING!F31=0," ",ING!F31)</f>
        <v>17</v>
      </c>
      <c r="G512" s="18"/>
    </row>
    <row r="513" spans="1:9" ht="17.100000000000001" customHeight="1">
      <c r="A513" s="271"/>
      <c r="B513" s="34" t="s">
        <v>61</v>
      </c>
      <c r="C513" s="35">
        <f>IF('C.SOC'!C31=0," ",'C.SOC'!C31)</f>
        <v>40</v>
      </c>
      <c r="D513" s="35" t="str">
        <f>IF('C.SOC'!D31=0," ",'C.SOC'!D31)</f>
        <v xml:space="preserve"> </v>
      </c>
      <c r="E513" s="35" t="str">
        <f>IF('C.SOC'!E31=0," ",'C.SOC'!E31)</f>
        <v xml:space="preserve"> </v>
      </c>
      <c r="F513" s="35">
        <f>IF('C.SOC'!F31=0," ",'C.SOC'!F31)</f>
        <v>13</v>
      </c>
      <c r="G513" s="18"/>
    </row>
    <row r="514" spans="1:9" ht="17.100000000000001" customHeight="1">
      <c r="A514" s="271"/>
      <c r="B514" s="34" t="s">
        <v>43</v>
      </c>
      <c r="C514" s="35">
        <f>IF('E. FIS.'!C31=0," ",'E. FIS.'!C31)</f>
        <v>55</v>
      </c>
      <c r="D514" s="35" t="str">
        <f>IF('E. FIS.'!D31=0," ",'E. FIS.'!D31)</f>
        <v xml:space="preserve"> </v>
      </c>
      <c r="E514" s="35" t="str">
        <f>IF('E. FIS.'!E31=0," ",'E. FIS.'!E31)</f>
        <v xml:space="preserve"> </v>
      </c>
      <c r="F514" s="35">
        <f>IF('E. FIS.'!F31=0," ",'E. FIS.'!F31)</f>
        <v>18</v>
      </c>
      <c r="G514" s="18"/>
    </row>
    <row r="515" spans="1:9" ht="17.100000000000001" customHeight="1">
      <c r="A515" s="271"/>
      <c r="B515" s="34" t="s">
        <v>44</v>
      </c>
      <c r="C515" s="35">
        <f>IF(MUS.!C31=0," ",MUS.!C31)</f>
        <v>47</v>
      </c>
      <c r="D515" s="35" t="str">
        <f>IF(MUS.!D31=0," ",MUS.!D31)</f>
        <v xml:space="preserve"> </v>
      </c>
      <c r="E515" s="35" t="str">
        <f>IF(MUS.!E31=0," ",MUS.!E31)</f>
        <v xml:space="preserve"> </v>
      </c>
      <c r="F515" s="35">
        <f>IF(MUS.!F31=0," ",MUS.!F31)</f>
        <v>16</v>
      </c>
      <c r="G515" s="18"/>
    </row>
    <row r="516" spans="1:9" ht="17.100000000000001" customHeight="1">
      <c r="A516" s="271"/>
      <c r="B516" s="34" t="s">
        <v>11</v>
      </c>
      <c r="C516" s="35">
        <f>IF('A.PL. '!C31=0," ",'A.PL. '!C31)</f>
        <v>61</v>
      </c>
      <c r="D516" s="35" t="str">
        <f>IF('A.PL. '!D31=0," ",'A.PL. '!D31)</f>
        <v xml:space="preserve"> </v>
      </c>
      <c r="E516" s="35" t="str">
        <f>IF('A.PL. '!E31=0," ",'A.PL. '!E31)</f>
        <v xml:space="preserve"> </v>
      </c>
      <c r="F516" s="35">
        <f>IF('A.PL. '!F31=0," ",'A.PL. '!F31)</f>
        <v>20</v>
      </c>
      <c r="G516" s="18"/>
    </row>
    <row r="517" spans="1:9" ht="17.100000000000001" customHeight="1">
      <c r="A517" s="272" t="s">
        <v>64</v>
      </c>
      <c r="B517" s="34" t="s">
        <v>62</v>
      </c>
      <c r="C517" s="35">
        <f>IF(MAT!C31=0," ",MAT!C31)</f>
        <v>49</v>
      </c>
      <c r="D517" s="35" t="str">
        <f>IF(MAT!D31=0," ",MAT!D31)</f>
        <v xml:space="preserve"> </v>
      </c>
      <c r="E517" s="35" t="str">
        <f>IF(MAT!E31=0," ",MAT!E31)</f>
        <v xml:space="preserve"> </v>
      </c>
      <c r="F517" s="35">
        <f>IF(MAT!F31=0," ",MAT!F31)</f>
        <v>16</v>
      </c>
      <c r="G517" s="18"/>
    </row>
    <row r="518" spans="1:9" ht="17.100000000000001" customHeight="1">
      <c r="A518" s="272"/>
      <c r="B518" s="34" t="s">
        <v>101</v>
      </c>
      <c r="C518" s="35">
        <f>IF('T. TEC. GRAL'!C31=0," ",'T. TEC. GRAL'!C31)</f>
        <v>39</v>
      </c>
      <c r="D518" s="35" t="str">
        <f>IF('T. TEC. GRAL'!D31=0," ",'T. TEC. GRAL'!D31)</f>
        <v xml:space="preserve"> </v>
      </c>
      <c r="E518" s="35" t="str">
        <f>IF('T. TEC. GRAL'!E31=0," ",'T. TEC. GRAL'!E31)</f>
        <v xml:space="preserve"> </v>
      </c>
      <c r="F518" s="35">
        <f>IF('T. TEC. GRAL'!F31=0," ",'T. TEC. GRAL'!F31)</f>
        <v>13</v>
      </c>
      <c r="G518" s="18"/>
    </row>
    <row r="519" spans="1:9" ht="24" customHeight="1">
      <c r="A519" s="142" t="s">
        <v>79</v>
      </c>
      <c r="B519" s="34" t="s">
        <v>63</v>
      </c>
      <c r="C519" s="35">
        <f>IF('BIO-GEO'!C31=0," ",'BIO-GEO'!C31)</f>
        <v>70</v>
      </c>
      <c r="D519" s="35" t="str">
        <f>IF('BIO-GEO'!D31=0," ",'BIO-GEO'!D31)</f>
        <v xml:space="preserve"> </v>
      </c>
      <c r="E519" s="35" t="str">
        <f>IF('BIO-GEO'!E31=0," ",'BIO-GEO'!E31)</f>
        <v xml:space="preserve"> </v>
      </c>
      <c r="F519" s="35">
        <f>IF('BIO-GEO'!F31=0," ",'BIO-GEO'!F31)</f>
        <v>23</v>
      </c>
      <c r="G519" s="18"/>
    </row>
    <row r="520" spans="1:9" ht="17.100000000000001" customHeight="1">
      <c r="A520" s="271" t="s">
        <v>39</v>
      </c>
      <c r="B520" s="34" t="s">
        <v>54</v>
      </c>
      <c r="C520" s="35">
        <f>IF(PSI!C31=0," ",PSI!C31)</f>
        <v>56</v>
      </c>
      <c r="D520" s="35" t="str">
        <f>IF(PSI!D31=0," ",PSI!D31)</f>
        <v xml:space="preserve"> </v>
      </c>
      <c r="E520" s="35" t="str">
        <f>IF(PSI!E31=0," ",PSI!E31)</f>
        <v xml:space="preserve"> </v>
      </c>
      <c r="F520" s="35">
        <f>IF(PSI!F31=0," ",PSI!F31)</f>
        <v>19</v>
      </c>
      <c r="G520" s="18"/>
    </row>
    <row r="521" spans="1:9" ht="17.100000000000001" customHeight="1">
      <c r="A521" s="271"/>
      <c r="B521" s="34" t="s">
        <v>55</v>
      </c>
      <c r="C521" s="35">
        <f>IF('REL.'!C31=0," ",'REL.'!C31)</f>
        <v>62.833333333333329</v>
      </c>
      <c r="D521" s="35" t="str">
        <f>IF('REL.'!D31=0," ",'REL.'!D31)</f>
        <v xml:space="preserve"> </v>
      </c>
      <c r="E521" s="35" t="str">
        <f>IF('REL.'!E31=0," ",'REL.'!E31)</f>
        <v xml:space="preserve"> </v>
      </c>
      <c r="F521" s="35">
        <f>IF('REL.'!F31=0," ",'REL.'!F31)</f>
        <v>21</v>
      </c>
      <c r="G521" s="18"/>
    </row>
    <row r="522" spans="1:9" ht="15.95" customHeight="1">
      <c r="A522" s="143"/>
      <c r="B522" s="144"/>
      <c r="C522" s="38"/>
      <c r="D522" s="38"/>
      <c r="E522" s="38"/>
      <c r="F522" s="38"/>
      <c r="G522" s="18"/>
    </row>
    <row r="523" spans="1:9" ht="17.25" customHeight="1">
      <c r="A523" s="18"/>
      <c r="B523" s="18"/>
      <c r="C523" s="278" t="s">
        <v>42</v>
      </c>
      <c r="D523" s="278"/>
      <c r="E523" s="278"/>
      <c r="F523" s="18"/>
      <c r="G523" s="18"/>
    </row>
    <row r="524" spans="1:9" ht="15.95" customHeight="1">
      <c r="A524" s="270" t="str">
        <f t="shared" ref="A524" si="25">$A$3</f>
        <v>U. E. ABAROA B</v>
      </c>
      <c r="B524" s="270"/>
      <c r="C524" s="18"/>
      <c r="D524" s="18"/>
      <c r="E524" s="18"/>
      <c r="F524" s="182" t="str">
        <f>NOMINA!$D$2</f>
        <v>GESTION: 2026</v>
      </c>
      <c r="G524" s="18"/>
    </row>
    <row r="525" spans="1:9" s="14" customFormat="1" ht="21.95" customHeight="1">
      <c r="A525" s="273" t="str">
        <f>NOMINA!$B$2</f>
        <v>CURSO 2A</v>
      </c>
      <c r="B525" s="274"/>
      <c r="C525" s="280" t="str">
        <f>NOMINA!B33</f>
        <v>ROMAN TITO MATEO</v>
      </c>
      <c r="D525" s="281"/>
      <c r="E525" s="281"/>
      <c r="F525" s="281"/>
      <c r="G525" s="49"/>
    </row>
    <row r="526" spans="1:9" ht="15.95" customHeight="1">
      <c r="A526" s="141"/>
      <c r="B526" s="53"/>
      <c r="C526" s="178">
        <f>NOMINA!C33</f>
        <v>0</v>
      </c>
      <c r="D526" s="284">
        <f>NOMINA!D33</f>
        <v>0</v>
      </c>
      <c r="E526" s="284"/>
      <c r="F526" s="181">
        <f>NOMINA!F33</f>
        <v>0</v>
      </c>
      <c r="G526" s="18"/>
    </row>
    <row r="527" spans="1:9" s="16" customFormat="1" ht="15.95" customHeight="1">
      <c r="A527" s="275" t="s">
        <v>35</v>
      </c>
      <c r="B527" s="282" t="s">
        <v>37</v>
      </c>
      <c r="C527" s="30" t="s">
        <v>84</v>
      </c>
      <c r="D527" s="30" t="s">
        <v>82</v>
      </c>
      <c r="E527" s="30" t="s">
        <v>83</v>
      </c>
      <c r="F527" s="180" t="s">
        <v>38</v>
      </c>
      <c r="G527" s="31"/>
      <c r="I527" s="17"/>
    </row>
    <row r="528" spans="1:9" s="16" customFormat="1" ht="15.95" customHeight="1">
      <c r="A528" s="276"/>
      <c r="B528" s="283"/>
      <c r="C528" s="32" t="s">
        <v>33</v>
      </c>
      <c r="D528" s="32" t="s">
        <v>33</v>
      </c>
      <c r="E528" s="32" t="s">
        <v>33</v>
      </c>
      <c r="F528" s="46" t="s">
        <v>33</v>
      </c>
      <c r="G528" s="31"/>
    </row>
    <row r="529" spans="1:7" ht="17.100000000000001" customHeight="1">
      <c r="A529" s="271" t="s">
        <v>45</v>
      </c>
      <c r="B529" s="34" t="s">
        <v>36</v>
      </c>
      <c r="C529" s="35">
        <f>IF(LEN!C32=0," ",LEN!C32)</f>
        <v>57</v>
      </c>
      <c r="D529" s="35" t="str">
        <f>IF(LEN!D32=0," ",LEN!D32)</f>
        <v xml:space="preserve"> </v>
      </c>
      <c r="E529" s="35" t="str">
        <f>IF(LEN!E32=0," ",LEN!E32)</f>
        <v xml:space="preserve"> </v>
      </c>
      <c r="F529" s="35">
        <f>IF(LEN!F32=0," ",LEN!F32)</f>
        <v>19</v>
      </c>
      <c r="G529" s="18"/>
    </row>
    <row r="530" spans="1:7" ht="17.100000000000001" customHeight="1">
      <c r="A530" s="271"/>
      <c r="B530" s="34" t="s">
        <v>10</v>
      </c>
      <c r="C530" s="35">
        <f>IF(ING!C32=0," ",ING!C32)</f>
        <v>53</v>
      </c>
      <c r="D530" s="35" t="str">
        <f>IF(ING!D32=0," ",ING!D32)</f>
        <v xml:space="preserve"> </v>
      </c>
      <c r="E530" s="35" t="str">
        <f>IF(ING!E32=0," ",ING!E32)</f>
        <v xml:space="preserve"> </v>
      </c>
      <c r="F530" s="35">
        <f>IF(ING!F32=0," ",ING!F32)</f>
        <v>18</v>
      </c>
      <c r="G530" s="18"/>
    </row>
    <row r="531" spans="1:7" ht="17.100000000000001" customHeight="1">
      <c r="A531" s="271"/>
      <c r="B531" s="34" t="s">
        <v>61</v>
      </c>
      <c r="C531" s="35">
        <f>IF('C.SOC'!C32=0," ",'C.SOC'!C32)</f>
        <v>46</v>
      </c>
      <c r="D531" s="35" t="str">
        <f>IF('C.SOC'!D32=0," ",'C.SOC'!D32)</f>
        <v xml:space="preserve"> </v>
      </c>
      <c r="E531" s="35" t="str">
        <f>IF('C.SOC'!E32=0," ",'C.SOC'!E32)</f>
        <v xml:space="preserve"> </v>
      </c>
      <c r="F531" s="35">
        <f>IF('C.SOC'!F32=0," ",'C.SOC'!F32)</f>
        <v>15</v>
      </c>
      <c r="G531" s="18"/>
    </row>
    <row r="532" spans="1:7" ht="17.100000000000001" customHeight="1">
      <c r="A532" s="271"/>
      <c r="B532" s="34" t="s">
        <v>43</v>
      </c>
      <c r="C532" s="35">
        <f>IF('E. FIS.'!C32=0," ",'E. FIS.'!C32)</f>
        <v>63</v>
      </c>
      <c r="D532" s="35" t="str">
        <f>IF('E. FIS.'!D32=0," ",'E. FIS.'!D32)</f>
        <v xml:space="preserve"> </v>
      </c>
      <c r="E532" s="35" t="str">
        <f>IF('E. FIS.'!E32=0," ",'E. FIS.'!E32)</f>
        <v xml:space="preserve"> </v>
      </c>
      <c r="F532" s="35">
        <f>IF('E. FIS.'!F32=0," ",'E. FIS.'!F32)</f>
        <v>21</v>
      </c>
      <c r="G532" s="18"/>
    </row>
    <row r="533" spans="1:7" ht="17.100000000000001" customHeight="1">
      <c r="A533" s="271"/>
      <c r="B533" s="34" t="s">
        <v>44</v>
      </c>
      <c r="C533" s="35">
        <f>IF(MUS.!C32=0," ",MUS.!C32)</f>
        <v>65</v>
      </c>
      <c r="D533" s="35" t="str">
        <f>IF(MUS.!D32=0," ",MUS.!D32)</f>
        <v xml:space="preserve"> </v>
      </c>
      <c r="E533" s="35" t="str">
        <f>IF(MUS.!E32=0," ",MUS.!E32)</f>
        <v xml:space="preserve"> </v>
      </c>
      <c r="F533" s="35">
        <f>IF(MUS.!F32=0," ",MUS.!F32)</f>
        <v>22</v>
      </c>
      <c r="G533" s="18"/>
    </row>
    <row r="534" spans="1:7" ht="17.100000000000001" customHeight="1">
      <c r="A534" s="271"/>
      <c r="B534" s="34" t="s">
        <v>11</v>
      </c>
      <c r="C534" s="35">
        <f>IF('A.PL. '!C32=0," ",'A.PL. '!C32)</f>
        <v>60</v>
      </c>
      <c r="D534" s="35" t="str">
        <f>IF('A.PL. '!D32=0," ",'A.PL. '!D32)</f>
        <v xml:space="preserve"> </v>
      </c>
      <c r="E534" s="35" t="str">
        <f>IF('A.PL. '!E32=0," ",'A.PL. '!E32)</f>
        <v xml:space="preserve"> </v>
      </c>
      <c r="F534" s="35">
        <f>IF('A.PL. '!F32=0," ",'A.PL. '!F32)</f>
        <v>20</v>
      </c>
      <c r="G534" s="18"/>
    </row>
    <row r="535" spans="1:7" ht="17.100000000000001" customHeight="1">
      <c r="A535" s="272" t="s">
        <v>64</v>
      </c>
      <c r="B535" s="34" t="s">
        <v>62</v>
      </c>
      <c r="C535" s="35">
        <f>IF(MAT!C32=0," ",MAT!C32)</f>
        <v>62</v>
      </c>
      <c r="D535" s="35" t="str">
        <f>IF(MAT!D32=0," ",MAT!D32)</f>
        <v xml:space="preserve"> </v>
      </c>
      <c r="E535" s="35" t="str">
        <f>IF(MAT!E32=0," ",MAT!E32)</f>
        <v xml:space="preserve"> </v>
      </c>
      <c r="F535" s="35">
        <f>IF(MAT!F32=0," ",MAT!F32)</f>
        <v>21</v>
      </c>
      <c r="G535" s="18"/>
    </row>
    <row r="536" spans="1:7" ht="17.100000000000001" customHeight="1">
      <c r="A536" s="272"/>
      <c r="B536" s="34" t="s">
        <v>101</v>
      </c>
      <c r="C536" s="35">
        <f>IF('T. TEC. GRAL'!C32=0," ",'T. TEC. GRAL'!C32)</f>
        <v>75</v>
      </c>
      <c r="D536" s="35" t="str">
        <f>IF('T. TEC. GRAL'!D32=0," ",'T. TEC. GRAL'!D32)</f>
        <v xml:space="preserve"> </v>
      </c>
      <c r="E536" s="35" t="str">
        <f>IF('T. TEC. GRAL'!E32=0," ",'T. TEC. GRAL'!E32)</f>
        <v xml:space="preserve"> </v>
      </c>
      <c r="F536" s="35">
        <f>IF('T. TEC. GRAL'!F32=0," ",'T. TEC. GRAL'!F32)</f>
        <v>25</v>
      </c>
      <c r="G536" s="18"/>
    </row>
    <row r="537" spans="1:7" ht="24" customHeight="1">
      <c r="A537" s="142" t="s">
        <v>79</v>
      </c>
      <c r="B537" s="34" t="s">
        <v>63</v>
      </c>
      <c r="C537" s="35">
        <f>IF('BIO-GEO'!C32=0," ",'BIO-GEO'!C32)</f>
        <v>77</v>
      </c>
      <c r="D537" s="35" t="str">
        <f>IF('BIO-GEO'!D32=0," ",'BIO-GEO'!D32)</f>
        <v xml:space="preserve"> </v>
      </c>
      <c r="E537" s="35" t="str">
        <f>IF('BIO-GEO'!E32=0," ",'BIO-GEO'!E32)</f>
        <v xml:space="preserve"> </v>
      </c>
      <c r="F537" s="35">
        <f>IF('BIO-GEO'!F32=0," ",'BIO-GEO'!F32)</f>
        <v>26</v>
      </c>
      <c r="G537" s="18"/>
    </row>
    <row r="538" spans="1:7" ht="17.100000000000001" customHeight="1">
      <c r="A538" s="271" t="s">
        <v>39</v>
      </c>
      <c r="B538" s="34" t="s">
        <v>54</v>
      </c>
      <c r="C538" s="35">
        <f>IF(PSI!C32=0," ",PSI!C32)</f>
        <v>71</v>
      </c>
      <c r="D538" s="35" t="str">
        <f>IF(PSI!D32=0," ",PSI!D32)</f>
        <v xml:space="preserve"> </v>
      </c>
      <c r="E538" s="35" t="str">
        <f>IF(PSI!E32=0," ",PSI!E32)</f>
        <v xml:space="preserve"> </v>
      </c>
      <c r="F538" s="35">
        <f>IF(PSI!F32=0," ",PSI!F32)</f>
        <v>24</v>
      </c>
      <c r="G538" s="18"/>
    </row>
    <row r="539" spans="1:7" ht="17.100000000000001" customHeight="1">
      <c r="A539" s="271"/>
      <c r="B539" s="34" t="s">
        <v>55</v>
      </c>
      <c r="C539" s="35">
        <f>IF('REL.'!C32=0," ",'REL.'!C32)</f>
        <v>60.833333333333329</v>
      </c>
      <c r="D539" s="35" t="str">
        <f>IF('REL.'!D32=0," ",'REL.'!D32)</f>
        <v xml:space="preserve"> </v>
      </c>
      <c r="E539" s="35" t="str">
        <f>IF('REL.'!E32=0," ",'REL.'!E32)</f>
        <v xml:space="preserve"> </v>
      </c>
      <c r="F539" s="35">
        <f>IF('REL.'!F32=0," ",'REL.'!F32)</f>
        <v>20</v>
      </c>
      <c r="G539" s="18"/>
    </row>
    <row r="540" spans="1:7" ht="15.95" customHeight="1">
      <c r="A540" s="143"/>
      <c r="B540" s="144"/>
      <c r="C540" s="38"/>
      <c r="D540" s="38"/>
      <c r="E540" s="38"/>
      <c r="F540" s="38"/>
      <c r="G540" s="18"/>
    </row>
    <row r="541" spans="1:7" ht="15.95" customHeight="1">
      <c r="A541" s="143"/>
      <c r="B541" s="144"/>
      <c r="C541" s="38"/>
      <c r="D541" s="38"/>
      <c r="E541" s="38"/>
      <c r="F541" s="38"/>
      <c r="G541" s="18"/>
    </row>
    <row r="542" spans="1:7" ht="22.5" customHeight="1">
      <c r="A542" s="143"/>
      <c r="B542" s="144"/>
      <c r="C542" s="38"/>
      <c r="D542" s="38"/>
      <c r="E542" s="38"/>
      <c r="F542" s="38"/>
      <c r="G542" s="18"/>
    </row>
    <row r="543" spans="1:7" ht="17.25" customHeight="1">
      <c r="A543" s="18"/>
      <c r="B543" s="18"/>
      <c r="C543" s="278" t="s">
        <v>42</v>
      </c>
      <c r="D543" s="278"/>
      <c r="E543" s="278"/>
      <c r="F543" s="18"/>
      <c r="G543" s="18"/>
    </row>
    <row r="544" spans="1:7" ht="15.95" customHeight="1">
      <c r="A544" s="270" t="str">
        <f t="shared" ref="A544" si="26">$A$3</f>
        <v>U. E. ABAROA B</v>
      </c>
      <c r="B544" s="270"/>
      <c r="C544" s="18"/>
      <c r="D544" s="18"/>
      <c r="E544" s="18"/>
      <c r="F544" s="182" t="str">
        <f>NOMINA!$D$2</f>
        <v>GESTION: 2026</v>
      </c>
      <c r="G544" s="18"/>
    </row>
    <row r="545" spans="1:9" s="14" customFormat="1" ht="21.95" customHeight="1">
      <c r="A545" s="273" t="str">
        <f>NOMINA!$B$2</f>
        <v>CURSO 2A</v>
      </c>
      <c r="B545" s="274"/>
      <c r="C545" s="280" t="str">
        <f>NOMINA!B34</f>
        <v xml:space="preserve">SILES MAMANI JUSTIN ANGEL </v>
      </c>
      <c r="D545" s="281"/>
      <c r="E545" s="281"/>
      <c r="F545" s="281"/>
      <c r="G545" s="49"/>
    </row>
    <row r="546" spans="1:9" ht="15.95" customHeight="1">
      <c r="A546" s="279">
        <f>NOMINA!A34</f>
        <v>29</v>
      </c>
      <c r="B546" s="52"/>
      <c r="C546" s="43" t="s">
        <v>5</v>
      </c>
      <c r="D546" s="271" t="s">
        <v>9</v>
      </c>
      <c r="E546" s="271"/>
      <c r="F546" s="179" t="s">
        <v>7</v>
      </c>
      <c r="G546" s="18"/>
    </row>
    <row r="547" spans="1:9" ht="15.95" customHeight="1">
      <c r="A547" s="279"/>
      <c r="B547" s="53"/>
      <c r="C547" s="178">
        <f>NOMINA!C34</f>
        <v>0</v>
      </c>
      <c r="D547" s="284">
        <f>NOMINA!D34</f>
        <v>0</v>
      </c>
      <c r="E547" s="284"/>
      <c r="F547" s="181">
        <f>NOMINA!F34</f>
        <v>0</v>
      </c>
      <c r="G547" s="18"/>
    </row>
    <row r="548" spans="1:9" s="16" customFormat="1" ht="15.95" customHeight="1">
      <c r="A548" s="275" t="s">
        <v>35</v>
      </c>
      <c r="B548" s="282" t="s">
        <v>37</v>
      </c>
      <c r="C548" s="30" t="s">
        <v>84</v>
      </c>
      <c r="D548" s="30" t="s">
        <v>82</v>
      </c>
      <c r="E548" s="30" t="s">
        <v>83</v>
      </c>
      <c r="F548" s="180" t="s">
        <v>38</v>
      </c>
      <c r="G548" s="31"/>
      <c r="I548" s="17"/>
    </row>
    <row r="549" spans="1:9" s="16" customFormat="1" ht="15.95" customHeight="1">
      <c r="A549" s="277"/>
      <c r="B549" s="285"/>
      <c r="C549" s="32" t="s">
        <v>33</v>
      </c>
      <c r="D549" s="32" t="s">
        <v>33</v>
      </c>
      <c r="E549" s="32" t="s">
        <v>33</v>
      </c>
      <c r="F549" s="46" t="s">
        <v>33</v>
      </c>
      <c r="G549" s="31"/>
    </row>
    <row r="550" spans="1:9" ht="17.100000000000001" customHeight="1">
      <c r="A550" s="271" t="s">
        <v>45</v>
      </c>
      <c r="B550" s="34" t="s">
        <v>36</v>
      </c>
      <c r="C550" s="35">
        <f>IF(LEN!C33=0," ",LEN!C33)</f>
        <v>75</v>
      </c>
      <c r="D550" s="35" t="str">
        <f>IF(LEN!D33=0," ",LEN!D33)</f>
        <v xml:space="preserve"> </v>
      </c>
      <c r="E550" s="35" t="str">
        <f>IF(LEN!E33=0," ",LEN!E33)</f>
        <v xml:space="preserve"> </v>
      </c>
      <c r="F550" s="35">
        <f>IF(LEN!F33=0," ",LEN!F33)</f>
        <v>25</v>
      </c>
      <c r="G550" s="18"/>
    </row>
    <row r="551" spans="1:9" ht="17.100000000000001" customHeight="1">
      <c r="A551" s="271"/>
      <c r="B551" s="34" t="s">
        <v>10</v>
      </c>
      <c r="C551" s="35">
        <f>IF(ING!C33=0," ",ING!C33)</f>
        <v>70</v>
      </c>
      <c r="D551" s="35" t="str">
        <f>IF(ING!D33=0," ",ING!D33)</f>
        <v xml:space="preserve"> </v>
      </c>
      <c r="E551" s="35" t="str">
        <f>IF(ING!E33=0," ",ING!E33)</f>
        <v xml:space="preserve"> </v>
      </c>
      <c r="F551" s="35">
        <f>IF(ING!F33=0," ",ING!F33)</f>
        <v>23</v>
      </c>
      <c r="G551" s="18"/>
    </row>
    <row r="552" spans="1:9" ht="17.100000000000001" customHeight="1">
      <c r="A552" s="271"/>
      <c r="B552" s="34" t="s">
        <v>61</v>
      </c>
      <c r="C552" s="35">
        <f>IF('C.SOC'!C33=0," ",'C.SOC'!C33)</f>
        <v>64</v>
      </c>
      <c r="D552" s="35" t="str">
        <f>IF('C.SOC'!D33=0," ",'C.SOC'!D33)</f>
        <v xml:space="preserve"> </v>
      </c>
      <c r="E552" s="35" t="str">
        <f>IF('C.SOC'!E33=0," ",'C.SOC'!E33)</f>
        <v xml:space="preserve"> </v>
      </c>
      <c r="F552" s="35">
        <f>IF('C.SOC'!F33=0," ",'C.SOC'!F33)</f>
        <v>21</v>
      </c>
      <c r="G552" s="18"/>
    </row>
    <row r="553" spans="1:9" ht="17.100000000000001" customHeight="1">
      <c r="A553" s="271"/>
      <c r="B553" s="34" t="s">
        <v>43</v>
      </c>
      <c r="C553" s="35">
        <f>IF('E. FIS.'!C33=0," ",'E. FIS.'!C33)</f>
        <v>79</v>
      </c>
      <c r="D553" s="35" t="str">
        <f>IF('E. FIS.'!D33=0," ",'E. FIS.'!D33)</f>
        <v xml:space="preserve"> </v>
      </c>
      <c r="E553" s="35" t="str">
        <f>IF('E. FIS.'!E33=0," ",'E. FIS.'!E33)</f>
        <v xml:space="preserve"> </v>
      </c>
      <c r="F553" s="35">
        <f>IF('E. FIS.'!F33=0," ",'E. FIS.'!F33)</f>
        <v>26</v>
      </c>
      <c r="G553" s="18"/>
    </row>
    <row r="554" spans="1:9" ht="17.100000000000001" customHeight="1">
      <c r="A554" s="271"/>
      <c r="B554" s="34" t="s">
        <v>44</v>
      </c>
      <c r="C554" s="35">
        <f>IF(MUS.!C33=0," ",MUS.!C33)</f>
        <v>100</v>
      </c>
      <c r="D554" s="35" t="str">
        <f>IF(MUS.!D33=0," ",MUS.!D33)</f>
        <v xml:space="preserve"> </v>
      </c>
      <c r="E554" s="35" t="str">
        <f>IF(MUS.!E33=0," ",MUS.!E33)</f>
        <v xml:space="preserve"> </v>
      </c>
      <c r="F554" s="35">
        <f>IF(MUS.!F33=0," ",MUS.!F33)</f>
        <v>33</v>
      </c>
      <c r="G554" s="18"/>
    </row>
    <row r="555" spans="1:9" ht="17.100000000000001" customHeight="1">
      <c r="A555" s="271"/>
      <c r="B555" s="34" t="s">
        <v>11</v>
      </c>
      <c r="C555" s="35">
        <f>IF('A.PL. '!C33=0," ",'A.PL. '!C33)</f>
        <v>70</v>
      </c>
      <c r="D555" s="35" t="str">
        <f>IF('A.PL. '!D33=0," ",'A.PL. '!D33)</f>
        <v xml:space="preserve"> </v>
      </c>
      <c r="E555" s="35" t="str">
        <f>IF('A.PL. '!E33=0," ",'A.PL. '!E33)</f>
        <v xml:space="preserve"> </v>
      </c>
      <c r="F555" s="35">
        <f>IF('A.PL. '!F33=0," ",'A.PL. '!F33)</f>
        <v>23</v>
      </c>
      <c r="G555" s="18"/>
    </row>
    <row r="556" spans="1:9" ht="17.100000000000001" customHeight="1">
      <c r="A556" s="272" t="s">
        <v>64</v>
      </c>
      <c r="B556" s="34" t="s">
        <v>62</v>
      </c>
      <c r="C556" s="35">
        <f>IF(MAT!C33=0," ",MAT!C33)</f>
        <v>86</v>
      </c>
      <c r="D556" s="35" t="str">
        <f>IF(MAT!D33=0," ",MAT!D33)</f>
        <v xml:space="preserve"> </v>
      </c>
      <c r="E556" s="35" t="str">
        <f>IF(MAT!E33=0," ",MAT!E33)</f>
        <v xml:space="preserve"> </v>
      </c>
      <c r="F556" s="35">
        <f>IF(MAT!F33=0," ",MAT!F33)</f>
        <v>29</v>
      </c>
      <c r="G556" s="18"/>
    </row>
    <row r="557" spans="1:9" ht="17.100000000000001" customHeight="1">
      <c r="A557" s="272"/>
      <c r="B557" s="34" t="s">
        <v>101</v>
      </c>
      <c r="C557" s="35">
        <f>IF('T. TEC. GRAL'!C33=0," ",'T. TEC. GRAL'!C33)</f>
        <v>82</v>
      </c>
      <c r="D557" s="35" t="str">
        <f>IF('T. TEC. GRAL'!D33=0," ",'T. TEC. GRAL'!D33)</f>
        <v xml:space="preserve"> </v>
      </c>
      <c r="E557" s="35" t="str">
        <f>IF('T. TEC. GRAL'!E33=0," ",'T. TEC. GRAL'!E33)</f>
        <v xml:space="preserve"> </v>
      </c>
      <c r="F557" s="35">
        <f>IF('T. TEC. GRAL'!F33=0," ",'T. TEC. GRAL'!F33)</f>
        <v>27</v>
      </c>
      <c r="G557" s="18"/>
    </row>
    <row r="558" spans="1:9" ht="24" customHeight="1">
      <c r="A558" s="142" t="s">
        <v>79</v>
      </c>
      <c r="B558" s="34" t="s">
        <v>63</v>
      </c>
      <c r="C558" s="35">
        <f>IF('BIO-GEO'!C33=0," ",'BIO-GEO'!C33)</f>
        <v>82</v>
      </c>
      <c r="D558" s="35" t="str">
        <f>IF('BIO-GEO'!D33=0," ",'BIO-GEO'!D33)</f>
        <v xml:space="preserve"> </v>
      </c>
      <c r="E558" s="35" t="str">
        <f>IF('BIO-GEO'!E33=0," ",'BIO-GEO'!E33)</f>
        <v xml:space="preserve"> </v>
      </c>
      <c r="F558" s="35">
        <f>IF('BIO-GEO'!F33=0," ",'BIO-GEO'!F33)</f>
        <v>27</v>
      </c>
      <c r="G558" s="18"/>
    </row>
    <row r="559" spans="1:9" ht="17.100000000000001" customHeight="1">
      <c r="A559" s="271" t="s">
        <v>39</v>
      </c>
      <c r="B559" s="34" t="s">
        <v>54</v>
      </c>
      <c r="C559" s="35">
        <f>IF(PSI!C33=0," ",PSI!C33)</f>
        <v>83</v>
      </c>
      <c r="D559" s="35" t="str">
        <f>IF(PSI!D33=0," ",PSI!D33)</f>
        <v xml:space="preserve"> </v>
      </c>
      <c r="E559" s="35" t="str">
        <f>IF(PSI!E33=0," ",PSI!E33)</f>
        <v xml:space="preserve"> </v>
      </c>
      <c r="F559" s="35">
        <f>IF(PSI!F33=0," ",PSI!F33)</f>
        <v>28</v>
      </c>
      <c r="G559" s="18"/>
    </row>
    <row r="560" spans="1:9" ht="17.100000000000001" customHeight="1">
      <c r="A560" s="271"/>
      <c r="B560" s="34" t="s">
        <v>55</v>
      </c>
      <c r="C560" s="35">
        <f>IF('REL.'!C33=0," ",'REL.'!C33)</f>
        <v>78.833333333333343</v>
      </c>
      <c r="D560" s="35" t="str">
        <f>IF('REL.'!D33=0," ",'REL.'!D33)</f>
        <v xml:space="preserve"> </v>
      </c>
      <c r="E560" s="35" t="str">
        <f>IF('REL.'!E33=0," ",'REL.'!E33)</f>
        <v xml:space="preserve"> </v>
      </c>
      <c r="F560" s="35">
        <f>IF('REL.'!F33=0," ",'REL.'!F33)</f>
        <v>26</v>
      </c>
      <c r="G560" s="18"/>
    </row>
    <row r="561" spans="1:9" ht="15.95" customHeight="1">
      <c r="A561" s="143"/>
      <c r="B561" s="144"/>
      <c r="C561" s="38"/>
      <c r="D561" s="38"/>
      <c r="E561" s="38"/>
      <c r="F561" s="38"/>
      <c r="G561" s="18"/>
    </row>
    <row r="562" spans="1:9" ht="15.95" customHeight="1">
      <c r="A562" s="143"/>
      <c r="B562" s="144"/>
      <c r="C562" s="38"/>
      <c r="D562" s="38"/>
      <c r="E562" s="38"/>
      <c r="F562" s="38"/>
      <c r="G562" s="18"/>
    </row>
    <row r="563" spans="1:9" ht="17.25" customHeight="1">
      <c r="A563" s="18"/>
      <c r="B563" s="18"/>
      <c r="C563" s="278" t="s">
        <v>42</v>
      </c>
      <c r="D563" s="278"/>
      <c r="E563" s="278"/>
      <c r="F563" s="18"/>
      <c r="G563" s="18"/>
    </row>
    <row r="564" spans="1:9" ht="15.95" customHeight="1">
      <c r="A564" s="270" t="str">
        <f t="shared" ref="A564" si="27">$A$3</f>
        <v>U. E. ABAROA B</v>
      </c>
      <c r="B564" s="270"/>
      <c r="C564" s="18"/>
      <c r="D564" s="18"/>
      <c r="E564" s="18"/>
      <c r="F564" s="182" t="str">
        <f>NOMINA!$D$2</f>
        <v>GESTION: 2026</v>
      </c>
      <c r="G564" s="18"/>
    </row>
    <row r="565" spans="1:9" s="14" customFormat="1" ht="21.95" customHeight="1">
      <c r="A565" s="273" t="str">
        <f>NOMINA!$B$2</f>
        <v>CURSO 2A</v>
      </c>
      <c r="B565" s="274"/>
      <c r="C565" s="280" t="str">
        <f>NOMINA!B35</f>
        <v>TERAN COCA DIEGO NICOLAS</v>
      </c>
      <c r="D565" s="281"/>
      <c r="E565" s="281"/>
      <c r="F565" s="281"/>
      <c r="G565" s="49"/>
    </row>
    <row r="566" spans="1:9" ht="15.95" customHeight="1">
      <c r="A566" s="279">
        <f>NOMINA!A35</f>
        <v>30</v>
      </c>
      <c r="B566" s="52"/>
      <c r="C566" s="43" t="s">
        <v>5</v>
      </c>
      <c r="D566" s="271" t="s">
        <v>9</v>
      </c>
      <c r="E566" s="271"/>
      <c r="F566" s="179" t="s">
        <v>7</v>
      </c>
      <c r="G566" s="18"/>
    </row>
    <row r="567" spans="1:9" ht="15.95" customHeight="1">
      <c r="A567" s="279"/>
      <c r="B567" s="53"/>
      <c r="C567" s="178">
        <f>NOMINA!C35</f>
        <v>0</v>
      </c>
      <c r="D567" s="284">
        <f>NOMINA!D35</f>
        <v>0</v>
      </c>
      <c r="E567" s="284"/>
      <c r="F567" s="181">
        <f>NOMINA!F35</f>
        <v>0</v>
      </c>
      <c r="G567" s="18"/>
    </row>
    <row r="568" spans="1:9" s="16" customFormat="1" ht="15.95" customHeight="1">
      <c r="A568" s="275" t="s">
        <v>35</v>
      </c>
      <c r="B568" s="282" t="s">
        <v>37</v>
      </c>
      <c r="C568" s="30" t="s">
        <v>84</v>
      </c>
      <c r="D568" s="30" t="s">
        <v>82</v>
      </c>
      <c r="E568" s="30" t="s">
        <v>83</v>
      </c>
      <c r="F568" s="180" t="s">
        <v>38</v>
      </c>
      <c r="G568" s="31"/>
      <c r="I568" s="17"/>
    </row>
    <row r="569" spans="1:9" s="16" customFormat="1" ht="15.95" customHeight="1">
      <c r="A569" s="276"/>
      <c r="B569" s="283"/>
      <c r="C569" s="32" t="s">
        <v>33</v>
      </c>
      <c r="D569" s="32" t="s">
        <v>33</v>
      </c>
      <c r="E569" s="32" t="s">
        <v>33</v>
      </c>
      <c r="F569" s="46" t="s">
        <v>33</v>
      </c>
      <c r="G569" s="31"/>
    </row>
    <row r="570" spans="1:9" ht="17.100000000000001" customHeight="1">
      <c r="A570" s="271" t="s">
        <v>45</v>
      </c>
      <c r="B570" s="34" t="s">
        <v>36</v>
      </c>
      <c r="C570" s="35">
        <f>IF(LEN!C34=0," ",LEN!C34)</f>
        <v>54</v>
      </c>
      <c r="D570" s="35" t="str">
        <f>IF(LEN!D34=0," ",LEN!D34)</f>
        <v xml:space="preserve"> </v>
      </c>
      <c r="E570" s="35" t="str">
        <f>IF(LEN!E34=0," ",LEN!E34)</f>
        <v xml:space="preserve"> </v>
      </c>
      <c r="F570" s="35">
        <f>IF(LEN!F34=0," ",LEN!F34)</f>
        <v>18</v>
      </c>
      <c r="G570" s="18"/>
    </row>
    <row r="571" spans="1:9" ht="17.100000000000001" customHeight="1">
      <c r="A571" s="271"/>
      <c r="B571" s="34" t="s">
        <v>10</v>
      </c>
      <c r="C571" s="35">
        <f>IF(ING!C34=0," ",ING!C34)</f>
        <v>71</v>
      </c>
      <c r="D571" s="35" t="str">
        <f>IF(ING!D34=0," ",ING!D34)</f>
        <v xml:space="preserve"> </v>
      </c>
      <c r="E571" s="35" t="str">
        <f>IF(ING!E34=0," ",ING!E34)</f>
        <v xml:space="preserve"> </v>
      </c>
      <c r="F571" s="35">
        <f>IF(ING!F34=0," ",ING!F34)</f>
        <v>24</v>
      </c>
      <c r="G571" s="18"/>
    </row>
    <row r="572" spans="1:9" ht="17.100000000000001" customHeight="1">
      <c r="A572" s="271"/>
      <c r="B572" s="34" t="s">
        <v>61</v>
      </c>
      <c r="C572" s="35">
        <f>IF('C.SOC'!C34=0," ",'C.SOC'!C34)</f>
        <v>53</v>
      </c>
      <c r="D572" s="35" t="str">
        <f>IF('C.SOC'!D34=0," ",'C.SOC'!D34)</f>
        <v xml:space="preserve"> </v>
      </c>
      <c r="E572" s="35" t="str">
        <f>IF('C.SOC'!E34=0," ",'C.SOC'!E34)</f>
        <v xml:space="preserve"> </v>
      </c>
      <c r="F572" s="35">
        <f>IF('C.SOC'!F34=0," ",'C.SOC'!F34)</f>
        <v>18</v>
      </c>
      <c r="G572" s="18"/>
    </row>
    <row r="573" spans="1:9" ht="17.100000000000001" customHeight="1">
      <c r="A573" s="271"/>
      <c r="B573" s="34" t="s">
        <v>43</v>
      </c>
      <c r="C573" s="35">
        <f>IF('E. FIS.'!C34=0," ",'E. FIS.'!C34)</f>
        <v>67</v>
      </c>
      <c r="D573" s="35" t="str">
        <f>IF('E. FIS.'!D34=0," ",'E. FIS.'!D34)</f>
        <v xml:space="preserve"> </v>
      </c>
      <c r="E573" s="35" t="str">
        <f>IF('E. FIS.'!E34=0," ",'E. FIS.'!E34)</f>
        <v xml:space="preserve"> </v>
      </c>
      <c r="F573" s="35">
        <f>IF('E. FIS.'!F34=0," ",'E. FIS.'!F34)</f>
        <v>22</v>
      </c>
      <c r="G573" s="18"/>
    </row>
    <row r="574" spans="1:9" ht="17.100000000000001" customHeight="1">
      <c r="A574" s="271"/>
      <c r="B574" s="34" t="s">
        <v>44</v>
      </c>
      <c r="C574" s="35">
        <f>IF(MUS.!C34=0," ",MUS.!C34)</f>
        <v>70</v>
      </c>
      <c r="D574" s="35" t="str">
        <f>IF(MUS.!D34=0," ",MUS.!D34)</f>
        <v xml:space="preserve"> </v>
      </c>
      <c r="E574" s="35" t="str">
        <f>IF(MUS.!E34=0," ",MUS.!E34)</f>
        <v xml:space="preserve"> </v>
      </c>
      <c r="F574" s="35">
        <f>IF(MUS.!F34=0," ",MUS.!F34)</f>
        <v>23</v>
      </c>
      <c r="G574" s="18"/>
    </row>
    <row r="575" spans="1:9" ht="17.100000000000001" customHeight="1">
      <c r="A575" s="271"/>
      <c r="B575" s="34" t="s">
        <v>11</v>
      </c>
      <c r="C575" s="35">
        <f>IF('A.PL. '!C34=0," ",'A.PL. '!C34)</f>
        <v>61</v>
      </c>
      <c r="D575" s="35" t="str">
        <f>IF('A.PL. '!D34=0," ",'A.PL. '!D34)</f>
        <v xml:space="preserve"> </v>
      </c>
      <c r="E575" s="35" t="str">
        <f>IF('A.PL. '!E34=0," ",'A.PL. '!E34)</f>
        <v xml:space="preserve"> </v>
      </c>
      <c r="F575" s="35">
        <f>IF('A.PL. '!F34=0," ",'A.PL. '!F34)</f>
        <v>20</v>
      </c>
      <c r="G575" s="18"/>
    </row>
    <row r="576" spans="1:9" ht="17.100000000000001" customHeight="1">
      <c r="A576" s="272" t="s">
        <v>64</v>
      </c>
      <c r="B576" s="34" t="s">
        <v>62</v>
      </c>
      <c r="C576" s="35">
        <f>IF(MAT!C34=0," ",MAT!C34)</f>
        <v>74</v>
      </c>
      <c r="D576" s="35" t="str">
        <f>IF(MAT!D34=0," ",MAT!D34)</f>
        <v xml:space="preserve"> </v>
      </c>
      <c r="E576" s="35" t="str">
        <f>IF(MAT!E34=0," ",MAT!E34)</f>
        <v xml:space="preserve"> </v>
      </c>
      <c r="F576" s="35">
        <f>IF(MAT!F34=0," ",MAT!F34)</f>
        <v>25</v>
      </c>
      <c r="G576" s="18"/>
    </row>
    <row r="577" spans="1:9" ht="17.100000000000001" customHeight="1">
      <c r="A577" s="272"/>
      <c r="B577" s="34" t="s">
        <v>101</v>
      </c>
      <c r="C577" s="35">
        <f>IF('T. TEC. GRAL'!C34=0," ",'T. TEC. GRAL'!C34)</f>
        <v>67</v>
      </c>
      <c r="D577" s="35" t="str">
        <f>IF('T. TEC. GRAL'!D34=0," ",'T. TEC. GRAL'!D34)</f>
        <v xml:space="preserve"> </v>
      </c>
      <c r="E577" s="35" t="str">
        <f>IF('T. TEC. GRAL'!E34=0," ",'T. TEC. GRAL'!E34)</f>
        <v xml:space="preserve"> </v>
      </c>
      <c r="F577" s="35">
        <f>IF('T. TEC. GRAL'!F34=0," ",'T. TEC. GRAL'!F34)</f>
        <v>22</v>
      </c>
      <c r="G577" s="18"/>
    </row>
    <row r="578" spans="1:9" ht="24" customHeight="1">
      <c r="A578" s="142" t="s">
        <v>79</v>
      </c>
      <c r="B578" s="34" t="s">
        <v>63</v>
      </c>
      <c r="C578" s="35">
        <f>IF('BIO-GEO'!C34=0," ",'BIO-GEO'!C34)</f>
        <v>80</v>
      </c>
      <c r="D578" s="35" t="str">
        <f>IF('BIO-GEO'!D34=0," ",'BIO-GEO'!D34)</f>
        <v xml:space="preserve"> </v>
      </c>
      <c r="E578" s="35" t="str">
        <f>IF('BIO-GEO'!E34=0," ",'BIO-GEO'!E34)</f>
        <v xml:space="preserve"> </v>
      </c>
      <c r="F578" s="35">
        <f>IF('BIO-GEO'!F34=0," ",'BIO-GEO'!F34)</f>
        <v>27</v>
      </c>
      <c r="G578" s="18"/>
    </row>
    <row r="579" spans="1:9" ht="17.100000000000001" customHeight="1">
      <c r="A579" s="271" t="s">
        <v>39</v>
      </c>
      <c r="B579" s="34" t="s">
        <v>54</v>
      </c>
      <c r="C579" s="35">
        <f>IF(PSI!C34=0," ",PSI!C34)</f>
        <v>68</v>
      </c>
      <c r="D579" s="35" t="str">
        <f>IF(PSI!D34=0," ",PSI!D34)</f>
        <v xml:space="preserve"> </v>
      </c>
      <c r="E579" s="35" t="str">
        <f>IF(PSI!E34=0," ",PSI!E34)</f>
        <v xml:space="preserve"> </v>
      </c>
      <c r="F579" s="35">
        <f>IF(PSI!F34=0," ",PSI!F34)</f>
        <v>23</v>
      </c>
      <c r="G579" s="18"/>
    </row>
    <row r="580" spans="1:9" ht="17.100000000000001" customHeight="1">
      <c r="A580" s="271"/>
      <c r="B580" s="34" t="s">
        <v>55</v>
      </c>
      <c r="C580" s="35">
        <f>IF('REL.'!C34=0," ",'REL.'!C34)</f>
        <v>62.333333333333329</v>
      </c>
      <c r="D580" s="35" t="str">
        <f>IF('REL.'!D34=0," ",'REL.'!D34)</f>
        <v xml:space="preserve"> </v>
      </c>
      <c r="E580" s="35" t="str">
        <f>IF('REL.'!E34=0," ",'REL.'!E34)</f>
        <v xml:space="preserve"> </v>
      </c>
      <c r="F580" s="35">
        <f>IF('REL.'!F34=0," ",'REL.'!F34)</f>
        <v>21</v>
      </c>
      <c r="G580" s="18"/>
    </row>
    <row r="581" spans="1:9" ht="15.95" customHeight="1">
      <c r="A581" s="143"/>
      <c r="B581" s="144"/>
      <c r="C581" s="38"/>
      <c r="D581" s="38"/>
      <c r="E581" s="38"/>
      <c r="F581" s="38"/>
      <c r="G581" s="18"/>
    </row>
    <row r="582" spans="1:9" ht="24.75" customHeight="1">
      <c r="A582" s="143"/>
      <c r="B582" s="144"/>
      <c r="C582" s="38"/>
      <c r="D582" s="38"/>
      <c r="E582" s="38"/>
      <c r="F582" s="38"/>
      <c r="G582" s="18"/>
    </row>
    <row r="583" spans="1:9" ht="15.95" customHeight="1">
      <c r="A583" s="143"/>
      <c r="B583" s="144"/>
      <c r="C583" s="38"/>
      <c r="D583" s="38"/>
      <c r="E583" s="38"/>
      <c r="F583" s="38"/>
      <c r="G583" s="18"/>
    </row>
    <row r="584" spans="1:9" ht="17.25" customHeight="1">
      <c r="A584" s="18"/>
      <c r="B584" s="18"/>
      <c r="C584" s="278" t="s">
        <v>42</v>
      </c>
      <c r="D584" s="278"/>
      <c r="E584" s="278"/>
      <c r="F584" s="18"/>
      <c r="G584" s="18"/>
    </row>
    <row r="585" spans="1:9" ht="15.95" customHeight="1">
      <c r="A585" s="270" t="str">
        <f t="shared" ref="A585" si="28">$A$3</f>
        <v>U. E. ABAROA B</v>
      </c>
      <c r="B585" s="270"/>
      <c r="C585" s="18"/>
      <c r="D585" s="18"/>
      <c r="E585" s="18"/>
      <c r="F585" s="182" t="str">
        <f>NOMINA!$D$2</f>
        <v>GESTION: 2026</v>
      </c>
      <c r="G585" s="18"/>
    </row>
    <row r="586" spans="1:9" s="14" customFormat="1" ht="21.95" customHeight="1">
      <c r="A586" s="273" t="str">
        <f>NOMINA!$B$2</f>
        <v>CURSO 2A</v>
      </c>
      <c r="B586" s="274"/>
      <c r="C586" s="280" t="str">
        <f>NOMINA!B36</f>
        <v>URIA LOPEZ SEBASTIAN ARIEL</v>
      </c>
      <c r="D586" s="281"/>
      <c r="E586" s="281"/>
      <c r="F586" s="281"/>
      <c r="G586" s="49"/>
    </row>
    <row r="587" spans="1:9" ht="15.95" customHeight="1">
      <c r="A587" s="279">
        <f>NOMINA!A36</f>
        <v>31</v>
      </c>
      <c r="B587" s="52"/>
      <c r="C587" s="43" t="s">
        <v>5</v>
      </c>
      <c r="D587" s="271" t="s">
        <v>9</v>
      </c>
      <c r="E587" s="271"/>
      <c r="F587" s="179" t="s">
        <v>7</v>
      </c>
      <c r="G587" s="18"/>
    </row>
    <row r="588" spans="1:9" ht="15.95" customHeight="1">
      <c r="A588" s="279"/>
      <c r="B588" s="53"/>
      <c r="C588" s="178">
        <f>NOMINA!C36</f>
        <v>0</v>
      </c>
      <c r="D588" s="284">
        <f>NOMINA!D36</f>
        <v>0</v>
      </c>
      <c r="E588" s="284"/>
      <c r="F588" s="181">
        <f>NOMINA!F36</f>
        <v>0</v>
      </c>
      <c r="G588" s="18"/>
    </row>
    <row r="589" spans="1:9" s="16" customFormat="1" ht="15.95" customHeight="1">
      <c r="A589" s="275" t="s">
        <v>35</v>
      </c>
      <c r="B589" s="282" t="s">
        <v>37</v>
      </c>
      <c r="C589" s="30" t="s">
        <v>84</v>
      </c>
      <c r="D589" s="30" t="s">
        <v>82</v>
      </c>
      <c r="E589" s="30" t="s">
        <v>83</v>
      </c>
      <c r="F589" s="180" t="s">
        <v>38</v>
      </c>
      <c r="G589" s="31"/>
      <c r="I589" s="17"/>
    </row>
    <row r="590" spans="1:9" s="16" customFormat="1" ht="15.95" customHeight="1">
      <c r="A590" s="277"/>
      <c r="B590" s="285"/>
      <c r="C590" s="32" t="s">
        <v>33</v>
      </c>
      <c r="D590" s="32" t="s">
        <v>33</v>
      </c>
      <c r="E590" s="32" t="s">
        <v>33</v>
      </c>
      <c r="F590" s="46" t="s">
        <v>33</v>
      </c>
      <c r="G590" s="31"/>
    </row>
    <row r="591" spans="1:9" ht="17.100000000000001" customHeight="1">
      <c r="A591" s="271" t="s">
        <v>45</v>
      </c>
      <c r="B591" s="34" t="s">
        <v>36</v>
      </c>
      <c r="C591" s="35">
        <f>IF(LEN!C35=0," ",LEN!C35)</f>
        <v>60</v>
      </c>
      <c r="D591" s="35" t="str">
        <f>IF(LEN!D35=0," ",LEN!D35)</f>
        <v xml:space="preserve"> </v>
      </c>
      <c r="E591" s="35" t="str">
        <f>IF(LEN!E35=0," ",LEN!E35)</f>
        <v xml:space="preserve"> </v>
      </c>
      <c r="F591" s="35">
        <f>IF(LEN!F35=0," ",LEN!F35)</f>
        <v>20</v>
      </c>
      <c r="G591" s="18"/>
    </row>
    <row r="592" spans="1:9" ht="17.100000000000001" customHeight="1">
      <c r="A592" s="271"/>
      <c r="B592" s="34" t="s">
        <v>10</v>
      </c>
      <c r="C592" s="35">
        <f>IF(ING!C35=0," ",ING!C35)</f>
        <v>67</v>
      </c>
      <c r="D592" s="35" t="str">
        <f>IF(ING!D35=0," ",ING!D35)</f>
        <v xml:space="preserve"> </v>
      </c>
      <c r="E592" s="35" t="str">
        <f>IF(ING!E35=0," ",ING!E35)</f>
        <v xml:space="preserve"> </v>
      </c>
      <c r="F592" s="35">
        <f>IF(ING!F35=0," ",ING!F35)</f>
        <v>22</v>
      </c>
      <c r="G592" s="18"/>
    </row>
    <row r="593" spans="1:9" ht="17.100000000000001" customHeight="1">
      <c r="A593" s="271"/>
      <c r="B593" s="34" t="s">
        <v>61</v>
      </c>
      <c r="C593" s="35">
        <f>IF('C.SOC'!C35=0," ",'C.SOC'!C35)</f>
        <v>51</v>
      </c>
      <c r="D593" s="35" t="str">
        <f>IF('C.SOC'!D35=0," ",'C.SOC'!D35)</f>
        <v xml:space="preserve"> </v>
      </c>
      <c r="E593" s="35" t="str">
        <f>IF('C.SOC'!E35=0," ",'C.SOC'!E35)</f>
        <v xml:space="preserve"> </v>
      </c>
      <c r="F593" s="35">
        <f>IF('C.SOC'!F35=0," ",'C.SOC'!F35)</f>
        <v>17</v>
      </c>
      <c r="G593" s="18"/>
    </row>
    <row r="594" spans="1:9" ht="17.100000000000001" customHeight="1">
      <c r="A594" s="271"/>
      <c r="B594" s="34" t="s">
        <v>43</v>
      </c>
      <c r="C594" s="35">
        <f>IF('E. FIS.'!C35=0," ",'E. FIS.'!C35)</f>
        <v>67</v>
      </c>
      <c r="D594" s="35" t="str">
        <f>IF('E. FIS.'!D35=0," ",'E. FIS.'!D35)</f>
        <v xml:space="preserve"> </v>
      </c>
      <c r="E594" s="35" t="str">
        <f>IF('E. FIS.'!E35=0," ",'E. FIS.'!E35)</f>
        <v xml:space="preserve"> </v>
      </c>
      <c r="F594" s="35">
        <f>IF('E. FIS.'!F35=0," ",'E. FIS.'!F35)</f>
        <v>22</v>
      </c>
      <c r="G594" s="18"/>
    </row>
    <row r="595" spans="1:9" ht="17.100000000000001" customHeight="1">
      <c r="A595" s="271"/>
      <c r="B595" s="34" t="s">
        <v>44</v>
      </c>
      <c r="C595" s="35">
        <f>IF(MUS.!C35=0," ",MUS.!C35)</f>
        <v>71</v>
      </c>
      <c r="D595" s="35" t="str">
        <f>IF(MUS.!D35=0," ",MUS.!D35)</f>
        <v xml:space="preserve"> </v>
      </c>
      <c r="E595" s="35" t="str">
        <f>IF(MUS.!E35=0," ",MUS.!E35)</f>
        <v xml:space="preserve"> </v>
      </c>
      <c r="F595" s="35">
        <f>IF(MUS.!F35=0," ",MUS.!F35)</f>
        <v>24</v>
      </c>
      <c r="G595" s="18"/>
    </row>
    <row r="596" spans="1:9" ht="17.100000000000001" customHeight="1">
      <c r="A596" s="271"/>
      <c r="B596" s="34" t="s">
        <v>11</v>
      </c>
      <c r="C596" s="35">
        <f>IF('A.PL. '!C35=0," ",'A.PL. '!C35)</f>
        <v>59</v>
      </c>
      <c r="D596" s="35" t="str">
        <f>IF('A.PL. '!D35=0," ",'A.PL. '!D35)</f>
        <v xml:space="preserve"> </v>
      </c>
      <c r="E596" s="35" t="str">
        <f>IF('A.PL. '!E35=0," ",'A.PL. '!E35)</f>
        <v xml:space="preserve"> </v>
      </c>
      <c r="F596" s="35">
        <f>IF('A.PL. '!F35=0," ",'A.PL. '!F35)</f>
        <v>20</v>
      </c>
      <c r="G596" s="18"/>
    </row>
    <row r="597" spans="1:9" ht="17.100000000000001" customHeight="1">
      <c r="A597" s="272" t="s">
        <v>64</v>
      </c>
      <c r="B597" s="34" t="s">
        <v>62</v>
      </c>
      <c r="C597" s="35">
        <f>IF(MAT!C35=0," ",MAT!C35)</f>
        <v>71</v>
      </c>
      <c r="D597" s="35" t="str">
        <f>IF(MAT!D35=0," ",MAT!D35)</f>
        <v xml:space="preserve"> </v>
      </c>
      <c r="E597" s="35" t="str">
        <f>IF(MAT!E35=0," ",MAT!E35)</f>
        <v xml:space="preserve"> </v>
      </c>
      <c r="F597" s="35">
        <f>IF(MAT!F35=0," ",MAT!F35)</f>
        <v>24</v>
      </c>
      <c r="G597" s="18"/>
    </row>
    <row r="598" spans="1:9" ht="17.100000000000001" customHeight="1">
      <c r="A598" s="272"/>
      <c r="B598" s="34" t="s">
        <v>101</v>
      </c>
      <c r="C598" s="35">
        <f>IF('T. TEC. GRAL'!C35=0," ",'T. TEC. GRAL'!C35)</f>
        <v>58</v>
      </c>
      <c r="D598" s="35" t="str">
        <f>IF('T. TEC. GRAL'!D35=0," ",'T. TEC. GRAL'!D35)</f>
        <v xml:space="preserve"> </v>
      </c>
      <c r="E598" s="35" t="str">
        <f>IF('T. TEC. GRAL'!E35=0," ",'T. TEC. GRAL'!E35)</f>
        <v xml:space="preserve"> </v>
      </c>
      <c r="F598" s="35">
        <f>IF('T. TEC. GRAL'!F35=0," ",'T. TEC. GRAL'!F35)</f>
        <v>19</v>
      </c>
      <c r="G598" s="18"/>
    </row>
    <row r="599" spans="1:9" ht="24" customHeight="1">
      <c r="A599" s="142" t="s">
        <v>79</v>
      </c>
      <c r="B599" s="34" t="s">
        <v>63</v>
      </c>
      <c r="C599" s="35">
        <f>IF('BIO-GEO'!C35=0," ",'BIO-GEO'!C35)</f>
        <v>68</v>
      </c>
      <c r="D599" s="35" t="str">
        <f>IF('BIO-GEO'!D35=0," ",'BIO-GEO'!D35)</f>
        <v xml:space="preserve"> </v>
      </c>
      <c r="E599" s="35" t="str">
        <f>IF('BIO-GEO'!E35=0," ",'BIO-GEO'!E35)</f>
        <v xml:space="preserve"> </v>
      </c>
      <c r="F599" s="35">
        <f>IF('BIO-GEO'!F35=0," ",'BIO-GEO'!F35)</f>
        <v>23</v>
      </c>
      <c r="G599" s="18"/>
    </row>
    <row r="600" spans="1:9" ht="17.100000000000001" customHeight="1">
      <c r="A600" s="271" t="s">
        <v>39</v>
      </c>
      <c r="B600" s="34" t="s">
        <v>54</v>
      </c>
      <c r="C600" s="35">
        <f>IF(PSI!C35=0," ",PSI!C35)</f>
        <v>75</v>
      </c>
      <c r="D600" s="35" t="str">
        <f>IF(PSI!D35=0," ",PSI!D35)</f>
        <v xml:space="preserve"> </v>
      </c>
      <c r="E600" s="35" t="str">
        <f>IF(PSI!E35=0," ",PSI!E35)</f>
        <v xml:space="preserve"> </v>
      </c>
      <c r="F600" s="35">
        <f>IF(PSI!F35=0," ",PSI!F35)</f>
        <v>25</v>
      </c>
      <c r="G600" s="18"/>
    </row>
    <row r="601" spans="1:9" ht="17.100000000000001" customHeight="1">
      <c r="A601" s="271"/>
      <c r="B601" s="34" t="s">
        <v>55</v>
      </c>
      <c r="C601" s="35">
        <f>IF('REL.'!C35=0," ",'REL.'!C35)</f>
        <v>68.666666666666657</v>
      </c>
      <c r="D601" s="35" t="str">
        <f>IF('REL.'!D35=0," ",'REL.'!D35)</f>
        <v xml:space="preserve"> </v>
      </c>
      <c r="E601" s="35" t="str">
        <f>IF('REL.'!E35=0," ",'REL.'!E35)</f>
        <v xml:space="preserve"> </v>
      </c>
      <c r="F601" s="35">
        <f>IF('REL.'!F35=0," ",'REL.'!F35)</f>
        <v>23</v>
      </c>
      <c r="G601" s="18"/>
    </row>
    <row r="602" spans="1:9" ht="15.95" customHeight="1">
      <c r="A602" s="143"/>
      <c r="B602" s="144"/>
      <c r="C602" s="38"/>
      <c r="D602" s="38"/>
      <c r="E602" s="38"/>
      <c r="F602" s="38"/>
      <c r="G602" s="18"/>
    </row>
    <row r="603" spans="1:9" ht="17.25" customHeight="1">
      <c r="A603" s="18"/>
      <c r="B603" s="18"/>
      <c r="C603" s="278" t="s">
        <v>42</v>
      </c>
      <c r="D603" s="278"/>
      <c r="E603" s="278"/>
      <c r="F603" s="18"/>
      <c r="G603" s="18"/>
    </row>
    <row r="604" spans="1:9" ht="15.95" customHeight="1">
      <c r="A604" s="270" t="str">
        <f t="shared" ref="A604" si="29">$A$3</f>
        <v>U. E. ABAROA B</v>
      </c>
      <c r="B604" s="270"/>
      <c r="C604" s="18"/>
      <c r="D604" s="18"/>
      <c r="E604" s="18"/>
      <c r="F604" s="182" t="str">
        <f>NOMINA!$D$2</f>
        <v>GESTION: 2026</v>
      </c>
      <c r="G604" s="18"/>
    </row>
    <row r="605" spans="1:9" s="14" customFormat="1" ht="21.95" customHeight="1">
      <c r="A605" s="273" t="str">
        <f>NOMINA!$B$2</f>
        <v>CURSO 2A</v>
      </c>
      <c r="B605" s="274"/>
      <c r="C605" s="280" t="str">
        <f>NOMINA!B37</f>
        <v>VASQUEZ ESPINOZA JHONATAN YAYCOB</v>
      </c>
      <c r="D605" s="281"/>
      <c r="E605" s="281"/>
      <c r="F605" s="281"/>
      <c r="G605" s="49"/>
    </row>
    <row r="606" spans="1:9" ht="15.95" customHeight="1">
      <c r="A606" s="279">
        <f>NOMINA!A37</f>
        <v>32</v>
      </c>
      <c r="B606" s="52"/>
      <c r="C606" s="43" t="s">
        <v>5</v>
      </c>
      <c r="D606" s="271" t="s">
        <v>9</v>
      </c>
      <c r="E606" s="271"/>
      <c r="F606" s="179" t="s">
        <v>7</v>
      </c>
      <c r="G606" s="18"/>
    </row>
    <row r="607" spans="1:9" ht="15.95" customHeight="1">
      <c r="A607" s="279"/>
      <c r="B607" s="53"/>
      <c r="C607" s="178">
        <f>NOMINA!C37</f>
        <v>0</v>
      </c>
      <c r="D607" s="284">
        <f>NOMINA!D37</f>
        <v>0</v>
      </c>
      <c r="E607" s="284"/>
      <c r="F607" s="181">
        <f>NOMINA!F37</f>
        <v>0</v>
      </c>
      <c r="G607" s="18"/>
    </row>
    <row r="608" spans="1:9" s="16" customFormat="1" ht="15.95" customHeight="1">
      <c r="A608" s="275" t="s">
        <v>35</v>
      </c>
      <c r="B608" s="282" t="s">
        <v>37</v>
      </c>
      <c r="C608" s="30" t="s">
        <v>84</v>
      </c>
      <c r="D608" s="30" t="s">
        <v>82</v>
      </c>
      <c r="E608" s="30" t="s">
        <v>83</v>
      </c>
      <c r="F608" s="180" t="s">
        <v>38</v>
      </c>
      <c r="G608" s="31"/>
      <c r="I608" s="17"/>
    </row>
    <row r="609" spans="1:7" s="16" customFormat="1" ht="15.95" customHeight="1">
      <c r="A609" s="276"/>
      <c r="B609" s="283"/>
      <c r="C609" s="32" t="s">
        <v>33</v>
      </c>
      <c r="D609" s="32" t="s">
        <v>33</v>
      </c>
      <c r="E609" s="32" t="s">
        <v>33</v>
      </c>
      <c r="F609" s="46" t="s">
        <v>33</v>
      </c>
      <c r="G609" s="31"/>
    </row>
    <row r="610" spans="1:7" ht="17.100000000000001" customHeight="1">
      <c r="A610" s="271" t="s">
        <v>45</v>
      </c>
      <c r="B610" s="34" t="s">
        <v>36</v>
      </c>
      <c r="C610" s="35">
        <f>IF(LEN!C36=0," ",LEN!C36)</f>
        <v>51</v>
      </c>
      <c r="D610" s="35" t="str">
        <f>IF(LEN!D36=0," ",LEN!D36)</f>
        <v xml:space="preserve"> </v>
      </c>
      <c r="E610" s="35" t="str">
        <f>IF(LEN!E36=0," ",LEN!E36)</f>
        <v xml:space="preserve"> </v>
      </c>
      <c r="F610" s="35">
        <f>IF(LEN!F36=0," ",LEN!F36)</f>
        <v>17</v>
      </c>
      <c r="G610" s="18"/>
    </row>
    <row r="611" spans="1:7" ht="17.100000000000001" customHeight="1">
      <c r="A611" s="271"/>
      <c r="B611" s="34" t="s">
        <v>10</v>
      </c>
      <c r="C611" s="35">
        <f>IF(ING!C36=0," ",ING!C36)</f>
        <v>52</v>
      </c>
      <c r="D611" s="35" t="str">
        <f>IF(ING!D36=0," ",ING!D36)</f>
        <v xml:space="preserve"> </v>
      </c>
      <c r="E611" s="35" t="str">
        <f>IF(ING!E36=0," ",ING!E36)</f>
        <v xml:space="preserve"> </v>
      </c>
      <c r="F611" s="35">
        <f>IF(ING!F36=0," ",ING!F36)</f>
        <v>17</v>
      </c>
      <c r="G611" s="18"/>
    </row>
    <row r="612" spans="1:7" ht="17.100000000000001" customHeight="1">
      <c r="A612" s="271"/>
      <c r="B612" s="34" t="s">
        <v>61</v>
      </c>
      <c r="C612" s="35">
        <f>IF('C.SOC'!C36=0," ",'C.SOC'!C36)</f>
        <v>51</v>
      </c>
      <c r="D612" s="35" t="str">
        <f>IF('C.SOC'!D36=0," ",'C.SOC'!D36)</f>
        <v xml:space="preserve"> </v>
      </c>
      <c r="E612" s="35" t="str">
        <f>IF('C.SOC'!E36=0," ",'C.SOC'!E36)</f>
        <v xml:space="preserve"> </v>
      </c>
      <c r="F612" s="35">
        <f>IF('C.SOC'!F36=0," ",'C.SOC'!F36)</f>
        <v>17</v>
      </c>
      <c r="G612" s="18"/>
    </row>
    <row r="613" spans="1:7" ht="17.100000000000001" customHeight="1">
      <c r="A613" s="271"/>
      <c r="B613" s="34" t="s">
        <v>43</v>
      </c>
      <c r="C613" s="35">
        <f>IF('E. FIS.'!C36=0," ",'E. FIS.'!C36)</f>
        <v>80</v>
      </c>
      <c r="D613" s="35" t="str">
        <f>IF('E. FIS.'!D36=0," ",'E. FIS.'!D36)</f>
        <v xml:space="preserve"> </v>
      </c>
      <c r="E613" s="35" t="str">
        <f>IF('E. FIS.'!E36=0," ",'E. FIS.'!E36)</f>
        <v xml:space="preserve"> </v>
      </c>
      <c r="F613" s="35">
        <f>IF('E. FIS.'!F36=0," ",'E. FIS.'!F36)</f>
        <v>27</v>
      </c>
      <c r="G613" s="18"/>
    </row>
    <row r="614" spans="1:7" ht="17.100000000000001" customHeight="1">
      <c r="A614" s="271"/>
      <c r="B614" s="34" t="s">
        <v>44</v>
      </c>
      <c r="C614" s="35">
        <f>IF(MUS.!C36=0," ",MUS.!C36)</f>
        <v>72</v>
      </c>
      <c r="D614" s="35" t="str">
        <f>IF(MUS.!D36=0," ",MUS.!D36)</f>
        <v xml:space="preserve"> </v>
      </c>
      <c r="E614" s="35" t="str">
        <f>IF(MUS.!E36=0," ",MUS.!E36)</f>
        <v xml:space="preserve"> </v>
      </c>
      <c r="F614" s="35">
        <f>IF(MUS.!F36=0," ",MUS.!F36)</f>
        <v>24</v>
      </c>
      <c r="G614" s="18"/>
    </row>
    <row r="615" spans="1:7" ht="17.100000000000001" customHeight="1">
      <c r="A615" s="271"/>
      <c r="B615" s="34" t="s">
        <v>11</v>
      </c>
      <c r="C615" s="35">
        <f>IF('A.PL. '!C36=0," ",'A.PL. '!C36)</f>
        <v>67</v>
      </c>
      <c r="D615" s="35" t="str">
        <f>IF('A.PL. '!D36=0," ",'A.PL. '!D36)</f>
        <v xml:space="preserve"> </v>
      </c>
      <c r="E615" s="35" t="str">
        <f>IF('A.PL. '!E36=0," ",'A.PL. '!E36)</f>
        <v xml:space="preserve"> </v>
      </c>
      <c r="F615" s="35">
        <f>IF('A.PL. '!F36=0," ",'A.PL. '!F36)</f>
        <v>22</v>
      </c>
      <c r="G615" s="18"/>
    </row>
    <row r="616" spans="1:7" ht="17.100000000000001" customHeight="1">
      <c r="A616" s="272" t="s">
        <v>64</v>
      </c>
      <c r="B616" s="34" t="s">
        <v>62</v>
      </c>
      <c r="C616" s="35">
        <f>IF(MAT!C36=0," ",MAT!C36)</f>
        <v>64</v>
      </c>
      <c r="D616" s="35" t="str">
        <f>IF(MAT!D36=0," ",MAT!D36)</f>
        <v xml:space="preserve"> </v>
      </c>
      <c r="E616" s="35" t="str">
        <f>IF(MAT!E36=0," ",MAT!E36)</f>
        <v xml:space="preserve"> </v>
      </c>
      <c r="F616" s="35">
        <f>IF(MAT!F36=0," ",MAT!F36)</f>
        <v>21</v>
      </c>
      <c r="G616" s="18"/>
    </row>
    <row r="617" spans="1:7" ht="17.100000000000001" customHeight="1">
      <c r="A617" s="272"/>
      <c r="B617" s="34" t="s">
        <v>101</v>
      </c>
      <c r="C617" s="35">
        <f>IF('T. TEC. GRAL'!C36=0," ",'T. TEC. GRAL'!C36)</f>
        <v>60</v>
      </c>
      <c r="D617" s="35" t="str">
        <f>IF('T. TEC. GRAL'!D36=0," ",'T. TEC. GRAL'!D36)</f>
        <v xml:space="preserve"> </v>
      </c>
      <c r="E617" s="35" t="str">
        <f>IF('T. TEC. GRAL'!E36=0," ",'T. TEC. GRAL'!E36)</f>
        <v xml:space="preserve"> </v>
      </c>
      <c r="F617" s="35">
        <f>IF('T. TEC. GRAL'!F36=0," ",'T. TEC. GRAL'!F36)</f>
        <v>20</v>
      </c>
      <c r="G617" s="18"/>
    </row>
    <row r="618" spans="1:7" ht="24" customHeight="1">
      <c r="A618" s="142" t="s">
        <v>79</v>
      </c>
      <c r="B618" s="34" t="s">
        <v>63</v>
      </c>
      <c r="C618" s="35">
        <f>IF('BIO-GEO'!C36=0," ",'BIO-GEO'!C36)</f>
        <v>77</v>
      </c>
      <c r="D618" s="35" t="str">
        <f>IF('BIO-GEO'!D36=0," ",'BIO-GEO'!D36)</f>
        <v xml:space="preserve"> </v>
      </c>
      <c r="E618" s="35" t="str">
        <f>IF('BIO-GEO'!E36=0," ",'BIO-GEO'!E36)</f>
        <v xml:space="preserve"> </v>
      </c>
      <c r="F618" s="35">
        <f>IF('BIO-GEO'!F36=0," ",'BIO-GEO'!F36)</f>
        <v>26</v>
      </c>
      <c r="G618" s="18"/>
    </row>
    <row r="619" spans="1:7" ht="17.100000000000001" customHeight="1">
      <c r="A619" s="271" t="s">
        <v>39</v>
      </c>
      <c r="B619" s="34" t="s">
        <v>54</v>
      </c>
      <c r="C619" s="35">
        <f>IF(PSI!C36=0," ",PSI!C36)</f>
        <v>76</v>
      </c>
      <c r="D619" s="35" t="str">
        <f>IF(PSI!D36=0," ",PSI!D36)</f>
        <v xml:space="preserve"> </v>
      </c>
      <c r="E619" s="35" t="str">
        <f>IF(PSI!E36=0," ",PSI!E36)</f>
        <v xml:space="preserve"> </v>
      </c>
      <c r="F619" s="35">
        <f>IF(PSI!F36=0," ",PSI!F36)</f>
        <v>25</v>
      </c>
      <c r="G619" s="18"/>
    </row>
    <row r="620" spans="1:7" ht="17.100000000000001" customHeight="1">
      <c r="A620" s="271"/>
      <c r="B620" s="34" t="s">
        <v>55</v>
      </c>
      <c r="C620" s="35">
        <f>IF('REL.'!C36=0," ",'REL.'!C36)</f>
        <v>62.166666666666671</v>
      </c>
      <c r="D620" s="35" t="str">
        <f>IF('REL.'!D36=0," ",'REL.'!D36)</f>
        <v xml:space="preserve"> </v>
      </c>
      <c r="E620" s="35" t="str">
        <f>IF('REL.'!E36=0," ",'REL.'!E36)</f>
        <v xml:space="preserve"> </v>
      </c>
      <c r="F620" s="35">
        <f>IF('REL.'!F36=0," ",'REL.'!F36)</f>
        <v>21</v>
      </c>
      <c r="G620" s="18"/>
    </row>
    <row r="621" spans="1:7" ht="15.95" customHeight="1">
      <c r="A621" s="143"/>
      <c r="B621" s="144"/>
      <c r="C621" s="38"/>
      <c r="D621" s="38"/>
      <c r="E621" s="38"/>
      <c r="F621" s="38"/>
      <c r="G621" s="18"/>
    </row>
    <row r="622" spans="1:7" ht="28.5" customHeight="1">
      <c r="A622" s="143"/>
      <c r="B622" s="144"/>
      <c r="C622" s="38"/>
      <c r="D622" s="38"/>
      <c r="E622" s="38"/>
      <c r="F622" s="38"/>
      <c r="G622" s="18"/>
    </row>
    <row r="623" spans="1:7" ht="15.95" customHeight="1">
      <c r="A623" s="143"/>
      <c r="B623" s="144"/>
      <c r="C623" s="38"/>
      <c r="D623" s="38"/>
      <c r="E623" s="38"/>
      <c r="F623" s="38"/>
      <c r="G623" s="18"/>
    </row>
    <row r="624" spans="1:7" ht="17.25" customHeight="1">
      <c r="A624" s="18"/>
      <c r="B624" s="18"/>
      <c r="C624" s="278" t="s">
        <v>42</v>
      </c>
      <c r="D624" s="278"/>
      <c r="E624" s="278"/>
      <c r="F624" s="18"/>
      <c r="G624" s="18"/>
    </row>
    <row r="625" spans="1:9" ht="15.95" customHeight="1">
      <c r="A625" s="270" t="str">
        <f t="shared" ref="A625" si="30">$A$3</f>
        <v>U. E. ABAROA B</v>
      </c>
      <c r="B625" s="270"/>
      <c r="C625" s="18"/>
      <c r="D625" s="18"/>
      <c r="E625" s="18"/>
      <c r="F625" s="182" t="str">
        <f>NOMINA!$D$2</f>
        <v>GESTION: 2026</v>
      </c>
      <c r="G625" s="18"/>
    </row>
    <row r="626" spans="1:9" s="14" customFormat="1" ht="21.95" customHeight="1">
      <c r="A626" s="273" t="str">
        <f>NOMINA!$B$2</f>
        <v>CURSO 2A</v>
      </c>
      <c r="B626" s="274"/>
      <c r="C626" s="280" t="str">
        <f>NOMINA!B38</f>
        <v>VEIZAGA LEDEZMA SEBASTIAN</v>
      </c>
      <c r="D626" s="281"/>
      <c r="E626" s="281"/>
      <c r="F626" s="281"/>
      <c r="G626" s="49"/>
    </row>
    <row r="627" spans="1:9" ht="15.95" customHeight="1">
      <c r="A627" s="279">
        <f>NOMINA!A38</f>
        <v>33</v>
      </c>
      <c r="B627" s="52"/>
      <c r="C627" s="43" t="s">
        <v>5</v>
      </c>
      <c r="D627" s="271" t="s">
        <v>9</v>
      </c>
      <c r="E627" s="271"/>
      <c r="F627" s="179" t="s">
        <v>7</v>
      </c>
      <c r="G627" s="18"/>
    </row>
    <row r="628" spans="1:9" ht="15.95" customHeight="1">
      <c r="A628" s="279"/>
      <c r="B628" s="53"/>
      <c r="C628" s="178">
        <f>NOMINA!C38</f>
        <v>0</v>
      </c>
      <c r="D628" s="284">
        <f>NOMINA!D38</f>
        <v>0</v>
      </c>
      <c r="E628" s="284"/>
      <c r="F628" s="181">
        <f>NOMINA!F38</f>
        <v>0</v>
      </c>
      <c r="G628" s="18"/>
    </row>
    <row r="629" spans="1:9" s="16" customFormat="1" ht="15.95" customHeight="1">
      <c r="A629" s="275" t="s">
        <v>35</v>
      </c>
      <c r="B629" s="282" t="s">
        <v>37</v>
      </c>
      <c r="C629" s="30" t="s">
        <v>84</v>
      </c>
      <c r="D629" s="30" t="s">
        <v>82</v>
      </c>
      <c r="E629" s="30" t="s">
        <v>83</v>
      </c>
      <c r="F629" s="180" t="s">
        <v>38</v>
      </c>
      <c r="G629" s="31"/>
      <c r="I629" s="17"/>
    </row>
    <row r="630" spans="1:9" s="16" customFormat="1" ht="15.95" customHeight="1">
      <c r="A630" s="276"/>
      <c r="B630" s="283"/>
      <c r="C630" s="32" t="s">
        <v>33</v>
      </c>
      <c r="D630" s="32" t="s">
        <v>33</v>
      </c>
      <c r="E630" s="32" t="s">
        <v>33</v>
      </c>
      <c r="F630" s="46" t="s">
        <v>33</v>
      </c>
      <c r="G630" s="31"/>
    </row>
    <row r="631" spans="1:9" ht="17.100000000000001" customHeight="1">
      <c r="A631" s="271" t="s">
        <v>45</v>
      </c>
      <c r="B631" s="34" t="s">
        <v>36</v>
      </c>
      <c r="C631" s="35">
        <f>IF(LEN!C37=0," ",LEN!C37)</f>
        <v>58</v>
      </c>
      <c r="D631" s="35" t="str">
        <f>IF(LEN!D37=0," ",LEN!D37)</f>
        <v xml:space="preserve"> </v>
      </c>
      <c r="E631" s="35" t="str">
        <f>IF(LEN!E37=0," ",LEN!E37)</f>
        <v xml:space="preserve"> </v>
      </c>
      <c r="F631" s="35">
        <f>IF(LEN!F37=0," ",LEN!F37)</f>
        <v>19</v>
      </c>
      <c r="G631" s="18"/>
    </row>
    <row r="632" spans="1:9" ht="17.100000000000001" customHeight="1">
      <c r="A632" s="271"/>
      <c r="B632" s="34" t="s">
        <v>10</v>
      </c>
      <c r="C632" s="35">
        <f>IF(ING!C37=0," ",ING!C37)</f>
        <v>52</v>
      </c>
      <c r="D632" s="35" t="str">
        <f>IF(ING!D37=0," ",ING!D37)</f>
        <v xml:space="preserve"> </v>
      </c>
      <c r="E632" s="35" t="str">
        <f>IF(ING!E37=0," ",ING!E37)</f>
        <v xml:space="preserve"> </v>
      </c>
      <c r="F632" s="35">
        <f>IF(ING!F37=0," ",ING!F37)</f>
        <v>17</v>
      </c>
      <c r="G632" s="18"/>
    </row>
    <row r="633" spans="1:9" ht="17.100000000000001" customHeight="1">
      <c r="A633" s="271"/>
      <c r="B633" s="34" t="s">
        <v>61</v>
      </c>
      <c r="C633" s="35">
        <f>IF('C.SOC'!C37=0," ",'C.SOC'!C37)</f>
        <v>61</v>
      </c>
      <c r="D633" s="35" t="str">
        <f>IF('C.SOC'!D37=0," ",'C.SOC'!D37)</f>
        <v xml:space="preserve"> </v>
      </c>
      <c r="E633" s="35" t="str">
        <f>IF('C.SOC'!E37=0," ",'C.SOC'!E37)</f>
        <v xml:space="preserve"> </v>
      </c>
      <c r="F633" s="35">
        <f>IF('C.SOC'!F37=0," ",'C.SOC'!F37)</f>
        <v>20</v>
      </c>
      <c r="G633" s="18"/>
    </row>
    <row r="634" spans="1:9" ht="17.100000000000001" customHeight="1">
      <c r="A634" s="271"/>
      <c r="B634" s="34" t="s">
        <v>43</v>
      </c>
      <c r="C634" s="35">
        <f>IF('E. FIS.'!C37=0," ",'E. FIS.'!C37)</f>
        <v>70</v>
      </c>
      <c r="D634" s="35" t="str">
        <f>IF('E. FIS.'!D37=0," ",'E. FIS.'!D37)</f>
        <v xml:space="preserve"> </v>
      </c>
      <c r="E634" s="35" t="str">
        <f>IF('E. FIS.'!E37=0," ",'E. FIS.'!E37)</f>
        <v xml:space="preserve"> </v>
      </c>
      <c r="F634" s="35">
        <f>IF('E. FIS.'!F37=0," ",'E. FIS.'!F37)</f>
        <v>23</v>
      </c>
      <c r="G634" s="18"/>
    </row>
    <row r="635" spans="1:9" ht="17.100000000000001" customHeight="1">
      <c r="A635" s="271"/>
      <c r="B635" s="34" t="s">
        <v>44</v>
      </c>
      <c r="C635" s="35">
        <f>IF(MUS.!C37=0," ",MUS.!C37)</f>
        <v>76</v>
      </c>
      <c r="D635" s="35" t="str">
        <f>IF(MUS.!D37=0," ",MUS.!D37)</f>
        <v xml:space="preserve"> </v>
      </c>
      <c r="E635" s="35" t="str">
        <f>IF(MUS.!E37=0," ",MUS.!E37)</f>
        <v xml:space="preserve"> </v>
      </c>
      <c r="F635" s="35">
        <f>IF(MUS.!F37=0," ",MUS.!F37)</f>
        <v>25</v>
      </c>
      <c r="G635" s="18"/>
    </row>
    <row r="636" spans="1:9" ht="17.100000000000001" customHeight="1">
      <c r="A636" s="271"/>
      <c r="B636" s="34" t="s">
        <v>11</v>
      </c>
      <c r="C636" s="35">
        <f>IF('A.PL. '!C37=0," ",'A.PL. '!C37)</f>
        <v>71</v>
      </c>
      <c r="D636" s="35" t="str">
        <f>IF('A.PL. '!D37=0," ",'A.PL. '!D37)</f>
        <v xml:space="preserve"> </v>
      </c>
      <c r="E636" s="35" t="str">
        <f>IF('A.PL. '!E37=0," ",'A.PL. '!E37)</f>
        <v xml:space="preserve"> </v>
      </c>
      <c r="F636" s="35">
        <f>IF('A.PL. '!F37=0," ",'A.PL. '!F37)</f>
        <v>24</v>
      </c>
      <c r="G636" s="18"/>
    </row>
    <row r="637" spans="1:9" ht="17.100000000000001" customHeight="1">
      <c r="A637" s="272" t="s">
        <v>64</v>
      </c>
      <c r="B637" s="34" t="s">
        <v>62</v>
      </c>
      <c r="C637" s="35">
        <f>IF(MAT!C37=0," ",MAT!C37)</f>
        <v>68</v>
      </c>
      <c r="D637" s="35" t="str">
        <f>IF(MAT!D37=0," ",MAT!D37)</f>
        <v xml:space="preserve"> </v>
      </c>
      <c r="E637" s="35" t="str">
        <f>IF(MAT!E37=0," ",MAT!E37)</f>
        <v xml:space="preserve"> </v>
      </c>
      <c r="F637" s="35">
        <f>IF(MAT!F37=0," ",MAT!F37)</f>
        <v>23</v>
      </c>
      <c r="G637" s="18"/>
    </row>
    <row r="638" spans="1:9" ht="17.100000000000001" customHeight="1">
      <c r="A638" s="272"/>
      <c r="B638" s="34" t="s">
        <v>101</v>
      </c>
      <c r="C638" s="35">
        <f>IF('T. TEC. GRAL'!C37=0," ",'T. TEC. GRAL'!C37)</f>
        <v>78</v>
      </c>
      <c r="D638" s="35" t="str">
        <f>IF('T. TEC. GRAL'!D37=0," ",'T. TEC. GRAL'!D37)</f>
        <v xml:space="preserve"> </v>
      </c>
      <c r="E638" s="35" t="str">
        <f>IF('T. TEC. GRAL'!E37=0," ",'T. TEC. GRAL'!E37)</f>
        <v xml:space="preserve"> </v>
      </c>
      <c r="F638" s="35">
        <f>IF('T. TEC. GRAL'!F37=0," ",'T. TEC. GRAL'!F37)</f>
        <v>26</v>
      </c>
      <c r="G638" s="18"/>
    </row>
    <row r="639" spans="1:9" ht="24" customHeight="1">
      <c r="A639" s="142" t="s">
        <v>79</v>
      </c>
      <c r="B639" s="34" t="s">
        <v>63</v>
      </c>
      <c r="C639" s="35">
        <f>IF('BIO-GEO'!C37=0," ",'BIO-GEO'!C37)</f>
        <v>62</v>
      </c>
      <c r="D639" s="35" t="str">
        <f>IF('BIO-GEO'!D37=0," ",'BIO-GEO'!D37)</f>
        <v xml:space="preserve"> </v>
      </c>
      <c r="E639" s="35" t="str">
        <f>IF('BIO-GEO'!E37=0," ",'BIO-GEO'!E37)</f>
        <v xml:space="preserve"> </v>
      </c>
      <c r="F639" s="35">
        <f>IF('BIO-GEO'!F37=0," ",'BIO-GEO'!F37)</f>
        <v>21</v>
      </c>
      <c r="G639" s="18"/>
    </row>
    <row r="640" spans="1:9" ht="17.100000000000001" customHeight="1">
      <c r="A640" s="271" t="s">
        <v>39</v>
      </c>
      <c r="B640" s="34" t="s">
        <v>54</v>
      </c>
      <c r="C640" s="35">
        <f>IF(PSI!C37=0," ",PSI!C37)</f>
        <v>55</v>
      </c>
      <c r="D640" s="35" t="str">
        <f>IF(PSI!D37=0," ",PSI!D37)</f>
        <v xml:space="preserve"> </v>
      </c>
      <c r="E640" s="35" t="str">
        <f>IF(PSI!E37=0," ",PSI!E37)</f>
        <v xml:space="preserve"> </v>
      </c>
      <c r="F640" s="35">
        <f>IF(PSI!F37=0," ",PSI!F37)</f>
        <v>18</v>
      </c>
      <c r="G640" s="18"/>
    </row>
    <row r="641" spans="1:9" ht="17.100000000000001" customHeight="1">
      <c r="A641" s="271"/>
      <c r="B641" s="34" t="s">
        <v>55</v>
      </c>
      <c r="C641" s="35">
        <f>IF('REL.'!C37=0," ",'REL.'!C37)</f>
        <v>64</v>
      </c>
      <c r="D641" s="35" t="str">
        <f>IF('REL.'!D37=0," ",'REL.'!D37)</f>
        <v xml:space="preserve"> </v>
      </c>
      <c r="E641" s="35" t="str">
        <f>IF('REL.'!E37=0," ",'REL.'!E37)</f>
        <v xml:space="preserve"> </v>
      </c>
      <c r="F641" s="35">
        <f>IF('REL.'!F37=0," ",'REL.'!F37)</f>
        <v>21</v>
      </c>
      <c r="G641" s="18"/>
    </row>
    <row r="642" spans="1:9" ht="15.95" customHeight="1">
      <c r="A642" s="143"/>
      <c r="B642" s="144"/>
      <c r="C642" s="38"/>
      <c r="D642" s="38"/>
      <c r="E642" s="38"/>
      <c r="F642" s="38"/>
      <c r="G642" s="18"/>
    </row>
    <row r="643" spans="1:9" ht="17.25" customHeight="1">
      <c r="A643" s="18"/>
      <c r="B643" s="18"/>
      <c r="C643" s="278" t="s">
        <v>42</v>
      </c>
      <c r="D643" s="278"/>
      <c r="E643" s="278"/>
      <c r="F643" s="18"/>
      <c r="G643" s="18"/>
    </row>
    <row r="644" spans="1:9" ht="15.95" customHeight="1">
      <c r="A644" s="270" t="str">
        <f t="shared" ref="A644" si="31">$A$3</f>
        <v>U. E. ABAROA B</v>
      </c>
      <c r="B644" s="270"/>
      <c r="C644" s="18"/>
      <c r="D644" s="18"/>
      <c r="E644" s="18"/>
      <c r="F644" s="182" t="str">
        <f>NOMINA!$D$2</f>
        <v>GESTION: 2026</v>
      </c>
      <c r="G644" s="18"/>
    </row>
    <row r="645" spans="1:9" s="14" customFormat="1" ht="21.95" customHeight="1">
      <c r="A645" s="273" t="str">
        <f>NOMINA!$B$2</f>
        <v>CURSO 2A</v>
      </c>
      <c r="B645" s="274"/>
      <c r="C645" s="280" t="str">
        <f>NOMINA!B39</f>
        <v>VILLARROEL CUCHILLO HUGO SEBASTIAN</v>
      </c>
      <c r="D645" s="281"/>
      <c r="E645" s="281"/>
      <c r="F645" s="281"/>
      <c r="G645" s="49"/>
    </row>
    <row r="646" spans="1:9" ht="15.95" customHeight="1">
      <c r="A646" s="279">
        <f>NOMINA!A39</f>
        <v>34</v>
      </c>
      <c r="B646" s="52"/>
      <c r="C646" s="43" t="s">
        <v>5</v>
      </c>
      <c r="D646" s="271" t="s">
        <v>9</v>
      </c>
      <c r="E646" s="271"/>
      <c r="F646" s="179" t="s">
        <v>7</v>
      </c>
      <c r="G646" s="18"/>
    </row>
    <row r="647" spans="1:9" ht="15.95" customHeight="1">
      <c r="A647" s="279"/>
      <c r="B647" s="53"/>
      <c r="C647" s="178">
        <f>NOMINA!C39</f>
        <v>0</v>
      </c>
      <c r="D647" s="284">
        <f>NOMINA!D39</f>
        <v>0</v>
      </c>
      <c r="E647" s="284"/>
      <c r="F647" s="181">
        <f>NOMINA!F39</f>
        <v>0</v>
      </c>
      <c r="G647" s="18"/>
    </row>
    <row r="648" spans="1:9" s="16" customFormat="1" ht="15.95" customHeight="1">
      <c r="A648" s="275" t="s">
        <v>35</v>
      </c>
      <c r="B648" s="282" t="s">
        <v>37</v>
      </c>
      <c r="C648" s="30" t="s">
        <v>84</v>
      </c>
      <c r="D648" s="30" t="s">
        <v>82</v>
      </c>
      <c r="E648" s="30" t="s">
        <v>83</v>
      </c>
      <c r="F648" s="180" t="s">
        <v>38</v>
      </c>
      <c r="G648" s="31"/>
      <c r="I648" s="17"/>
    </row>
    <row r="649" spans="1:9" s="16" customFormat="1" ht="15.95" customHeight="1">
      <c r="A649" s="276"/>
      <c r="B649" s="283"/>
      <c r="C649" s="32" t="s">
        <v>33</v>
      </c>
      <c r="D649" s="32" t="s">
        <v>33</v>
      </c>
      <c r="E649" s="32" t="s">
        <v>33</v>
      </c>
      <c r="F649" s="46" t="s">
        <v>33</v>
      </c>
      <c r="G649" s="31"/>
    </row>
    <row r="650" spans="1:9" ht="17.100000000000001" customHeight="1">
      <c r="A650" s="271" t="s">
        <v>45</v>
      </c>
      <c r="B650" s="34" t="s">
        <v>36</v>
      </c>
      <c r="C650" s="35">
        <f>IF(LEN!C38=0," ",LEN!C38)</f>
        <v>67</v>
      </c>
      <c r="D650" s="35" t="str">
        <f>IF(LEN!D38=0," ",LEN!D38)</f>
        <v xml:space="preserve"> </v>
      </c>
      <c r="E650" s="35" t="str">
        <f>IF(LEN!E38=0," ",LEN!E38)</f>
        <v xml:space="preserve"> </v>
      </c>
      <c r="F650" s="35">
        <f>IF(LEN!F38=0," ",LEN!F38)</f>
        <v>22</v>
      </c>
      <c r="G650" s="18"/>
    </row>
    <row r="651" spans="1:9" ht="17.100000000000001" customHeight="1">
      <c r="A651" s="271"/>
      <c r="B651" s="34" t="s">
        <v>10</v>
      </c>
      <c r="C651" s="35">
        <f>IF(ING!C38=0," ",ING!C38)</f>
        <v>68</v>
      </c>
      <c r="D651" s="35" t="str">
        <f>IF(ING!D38=0," ",ING!D38)</f>
        <v xml:space="preserve"> </v>
      </c>
      <c r="E651" s="35" t="str">
        <f>IF(ING!E38=0," ",ING!E38)</f>
        <v xml:space="preserve"> </v>
      </c>
      <c r="F651" s="35">
        <f>IF(ING!F38=0," ",ING!F38)</f>
        <v>23</v>
      </c>
      <c r="G651" s="18"/>
    </row>
    <row r="652" spans="1:9" ht="17.100000000000001" customHeight="1">
      <c r="A652" s="271"/>
      <c r="B652" s="34" t="s">
        <v>61</v>
      </c>
      <c r="C652" s="35">
        <f>IF('C.SOC'!C38=0," ",'C.SOC'!C38)</f>
        <v>54</v>
      </c>
      <c r="D652" s="35" t="str">
        <f>IF('C.SOC'!D38=0," ",'C.SOC'!D38)</f>
        <v xml:space="preserve"> </v>
      </c>
      <c r="E652" s="35" t="str">
        <f>IF('C.SOC'!E38=0," ",'C.SOC'!E38)</f>
        <v xml:space="preserve"> </v>
      </c>
      <c r="F652" s="35">
        <f>IF('C.SOC'!F38=0," ",'C.SOC'!F38)</f>
        <v>18</v>
      </c>
      <c r="G652" s="18"/>
    </row>
    <row r="653" spans="1:9" ht="17.100000000000001" customHeight="1">
      <c r="A653" s="271"/>
      <c r="B653" s="34" t="s">
        <v>43</v>
      </c>
      <c r="C653" s="35">
        <f>IF('E. FIS.'!C38=0," ",'E. FIS.'!C38)</f>
        <v>69</v>
      </c>
      <c r="D653" s="35" t="str">
        <f>IF('E. FIS.'!D38=0," ",'E. FIS.'!D38)</f>
        <v xml:space="preserve"> </v>
      </c>
      <c r="E653" s="35" t="str">
        <f>IF('E. FIS.'!E38=0," ",'E. FIS.'!E38)</f>
        <v xml:space="preserve"> </v>
      </c>
      <c r="F653" s="35">
        <f>IF('E. FIS.'!F38=0," ",'E. FIS.'!F38)</f>
        <v>23</v>
      </c>
      <c r="G653" s="18"/>
    </row>
    <row r="654" spans="1:9" ht="17.100000000000001" customHeight="1">
      <c r="A654" s="271"/>
      <c r="B654" s="34" t="s">
        <v>44</v>
      </c>
      <c r="C654" s="35">
        <f>IF(MUS.!C38=0," ",MUS.!C38)</f>
        <v>87</v>
      </c>
      <c r="D654" s="35" t="str">
        <f>IF(MUS.!D38=0," ",MUS.!D38)</f>
        <v xml:space="preserve"> </v>
      </c>
      <c r="E654" s="35" t="str">
        <f>IF(MUS.!E38=0," ",MUS.!E38)</f>
        <v xml:space="preserve"> </v>
      </c>
      <c r="F654" s="35">
        <f>IF(MUS.!F38=0," ",MUS.!F38)</f>
        <v>29</v>
      </c>
      <c r="G654" s="18"/>
    </row>
    <row r="655" spans="1:9" ht="17.100000000000001" customHeight="1">
      <c r="A655" s="271"/>
      <c r="B655" s="34" t="s">
        <v>11</v>
      </c>
      <c r="C655" s="35">
        <f>IF('A.PL. '!C38=0," ",'A.PL. '!C38)</f>
        <v>59</v>
      </c>
      <c r="D655" s="35" t="str">
        <f>IF('A.PL. '!D38=0," ",'A.PL. '!D38)</f>
        <v xml:space="preserve"> </v>
      </c>
      <c r="E655" s="35" t="str">
        <f>IF('A.PL. '!E38=0," ",'A.PL. '!E38)</f>
        <v xml:space="preserve"> </v>
      </c>
      <c r="F655" s="35">
        <f>IF('A.PL. '!F38=0," ",'A.PL. '!F38)</f>
        <v>20</v>
      </c>
      <c r="G655" s="18"/>
    </row>
    <row r="656" spans="1:9" ht="17.100000000000001" customHeight="1">
      <c r="A656" s="272" t="s">
        <v>64</v>
      </c>
      <c r="B656" s="34" t="s">
        <v>62</v>
      </c>
      <c r="C656" s="35">
        <f>IF(MAT!C38=0," ",MAT!C38)</f>
        <v>72</v>
      </c>
      <c r="D656" s="35" t="str">
        <f>IF(MAT!D38=0," ",MAT!D38)</f>
        <v xml:space="preserve"> </v>
      </c>
      <c r="E656" s="35" t="str">
        <f>IF(MAT!E38=0," ",MAT!E38)</f>
        <v xml:space="preserve"> </v>
      </c>
      <c r="F656" s="35">
        <f>IF(MAT!F38=0," ",MAT!F38)</f>
        <v>24</v>
      </c>
      <c r="G656" s="18"/>
    </row>
    <row r="657" spans="1:9" ht="17.100000000000001" customHeight="1">
      <c r="A657" s="272"/>
      <c r="B657" s="34" t="s">
        <v>101</v>
      </c>
      <c r="C657" s="35">
        <f>IF('T. TEC. GRAL'!C38=0," ",'T. TEC. GRAL'!C38)</f>
        <v>65</v>
      </c>
      <c r="D657" s="35" t="str">
        <f>IF('T. TEC. GRAL'!D38=0," ",'T. TEC. GRAL'!D38)</f>
        <v xml:space="preserve"> </v>
      </c>
      <c r="E657" s="35" t="str">
        <f>IF('T. TEC. GRAL'!E38=0," ",'T. TEC. GRAL'!E38)</f>
        <v xml:space="preserve"> </v>
      </c>
      <c r="F657" s="35">
        <f>IF('T. TEC. GRAL'!F38=0," ",'T. TEC. GRAL'!F38)</f>
        <v>22</v>
      </c>
      <c r="G657" s="18"/>
    </row>
    <row r="658" spans="1:9" ht="24" customHeight="1">
      <c r="A658" s="142" t="s">
        <v>79</v>
      </c>
      <c r="B658" s="34" t="s">
        <v>63</v>
      </c>
      <c r="C658" s="35">
        <f>IF('BIO-GEO'!C38=0," ",'BIO-GEO'!C38)</f>
        <v>81</v>
      </c>
      <c r="D658" s="35" t="str">
        <f>IF('BIO-GEO'!D38=0," ",'BIO-GEO'!D38)</f>
        <v xml:space="preserve"> </v>
      </c>
      <c r="E658" s="35" t="str">
        <f>IF('BIO-GEO'!E38=0," ",'BIO-GEO'!E38)</f>
        <v xml:space="preserve"> </v>
      </c>
      <c r="F658" s="35">
        <f>IF('BIO-GEO'!F38=0," ",'BIO-GEO'!F38)</f>
        <v>27</v>
      </c>
      <c r="G658" s="18"/>
    </row>
    <row r="659" spans="1:9" ht="17.100000000000001" customHeight="1">
      <c r="A659" s="271" t="s">
        <v>39</v>
      </c>
      <c r="B659" s="34" t="s">
        <v>54</v>
      </c>
      <c r="C659" s="35">
        <f>IF(PSI!C38=0," ",PSI!C38)</f>
        <v>77</v>
      </c>
      <c r="D659" s="35" t="str">
        <f>IF(PSI!D38=0," ",PSI!D38)</f>
        <v xml:space="preserve"> </v>
      </c>
      <c r="E659" s="35" t="str">
        <f>IF(PSI!E38=0," ",PSI!E38)</f>
        <v xml:space="preserve"> </v>
      </c>
      <c r="F659" s="35">
        <f>IF(PSI!F38=0," ",PSI!F38)</f>
        <v>26</v>
      </c>
      <c r="G659" s="18"/>
    </row>
    <row r="660" spans="1:9" ht="17.100000000000001" customHeight="1">
      <c r="A660" s="271"/>
      <c r="B660" s="34" t="s">
        <v>55</v>
      </c>
      <c r="C660" s="35">
        <f>IF('REL.'!C38=0," ",'REL.'!C38)</f>
        <v>66.583333333333329</v>
      </c>
      <c r="D660" s="35" t="str">
        <f>IF('REL.'!D38=0," ",'REL.'!D38)</f>
        <v xml:space="preserve"> </v>
      </c>
      <c r="E660" s="35" t="str">
        <f>IF('REL.'!E38=0," ",'REL.'!E38)</f>
        <v xml:space="preserve"> </v>
      </c>
      <c r="F660" s="35">
        <f>IF('REL.'!F38=0," ",'REL.'!F38)</f>
        <v>22</v>
      </c>
      <c r="G660" s="18"/>
    </row>
    <row r="661" spans="1:9" ht="15.95" customHeight="1">
      <c r="A661" s="143"/>
      <c r="B661" s="144"/>
      <c r="C661" s="38"/>
      <c r="D661" s="38"/>
      <c r="E661" s="38"/>
      <c r="F661" s="38"/>
      <c r="G661" s="18"/>
    </row>
    <row r="662" spans="1:9" ht="24" customHeight="1">
      <c r="A662" s="143"/>
      <c r="B662" s="144"/>
      <c r="C662" s="38"/>
      <c r="D662" s="38"/>
      <c r="E662" s="38"/>
      <c r="F662" s="38"/>
      <c r="G662" s="18"/>
    </row>
    <row r="663" spans="1:9" ht="15.95" customHeight="1">
      <c r="A663" s="143"/>
      <c r="B663" s="144"/>
      <c r="C663" s="38"/>
      <c r="D663" s="38"/>
      <c r="E663" s="38"/>
      <c r="F663" s="38"/>
      <c r="G663" s="18"/>
    </row>
    <row r="664" spans="1:9" ht="17.25" customHeight="1">
      <c r="A664" s="18"/>
      <c r="B664" s="18"/>
      <c r="C664" s="278" t="s">
        <v>42</v>
      </c>
      <c r="D664" s="278"/>
      <c r="E664" s="278"/>
      <c r="F664" s="18"/>
      <c r="G664" s="18"/>
    </row>
    <row r="665" spans="1:9" ht="15.95" customHeight="1">
      <c r="A665" s="270" t="str">
        <f t="shared" ref="A665" si="32">$A$3</f>
        <v>U. E. ABAROA B</v>
      </c>
      <c r="B665" s="270"/>
      <c r="C665" s="18"/>
      <c r="D665" s="18"/>
      <c r="E665" s="18"/>
      <c r="F665" s="182" t="str">
        <f>NOMINA!$D$2</f>
        <v>GESTION: 2026</v>
      </c>
      <c r="G665" s="18"/>
    </row>
    <row r="666" spans="1:9" s="14" customFormat="1" ht="21.95" customHeight="1">
      <c r="A666" s="273" t="str">
        <f>NOMINA!$B$2</f>
        <v>CURSO 2A</v>
      </c>
      <c r="B666" s="274"/>
      <c r="C666" s="280" t="str">
        <f>NOMINA!B40</f>
        <v>ZAMBRANA MENDEZ MIRCO ALEXANDER</v>
      </c>
      <c r="D666" s="281"/>
      <c r="E666" s="281"/>
      <c r="F666" s="281"/>
      <c r="G666" s="49"/>
    </row>
    <row r="667" spans="1:9" ht="15.95" customHeight="1">
      <c r="A667" s="279">
        <f>NOMINA!A40</f>
        <v>35</v>
      </c>
      <c r="B667" s="52"/>
      <c r="C667" s="43" t="s">
        <v>5</v>
      </c>
      <c r="D667" s="271" t="s">
        <v>9</v>
      </c>
      <c r="E667" s="271"/>
      <c r="F667" s="179" t="s">
        <v>7</v>
      </c>
      <c r="G667" s="18"/>
    </row>
    <row r="668" spans="1:9" ht="15.95" customHeight="1">
      <c r="A668" s="279"/>
      <c r="B668" s="53"/>
      <c r="C668" s="178">
        <f>NOMINA!C40</f>
        <v>0</v>
      </c>
      <c r="D668" s="284">
        <f>NOMINA!D40</f>
        <v>0</v>
      </c>
      <c r="E668" s="284"/>
      <c r="F668" s="181">
        <f>NOMINA!F40</f>
        <v>0</v>
      </c>
      <c r="G668" s="18"/>
    </row>
    <row r="669" spans="1:9" s="16" customFormat="1" ht="15.95" customHeight="1">
      <c r="A669" s="275" t="s">
        <v>35</v>
      </c>
      <c r="B669" s="282" t="s">
        <v>37</v>
      </c>
      <c r="C669" s="30" t="s">
        <v>84</v>
      </c>
      <c r="D669" s="30" t="s">
        <v>82</v>
      </c>
      <c r="E669" s="30" t="s">
        <v>83</v>
      </c>
      <c r="F669" s="180" t="s">
        <v>38</v>
      </c>
      <c r="G669" s="31"/>
      <c r="I669" s="17"/>
    </row>
    <row r="670" spans="1:9" s="16" customFormat="1" ht="15.95" customHeight="1">
      <c r="A670" s="276"/>
      <c r="B670" s="283"/>
      <c r="C670" s="32" t="s">
        <v>33</v>
      </c>
      <c r="D670" s="32" t="s">
        <v>33</v>
      </c>
      <c r="E670" s="32" t="s">
        <v>33</v>
      </c>
      <c r="F670" s="46" t="s">
        <v>33</v>
      </c>
      <c r="G670" s="31"/>
    </row>
    <row r="671" spans="1:9" ht="17.100000000000001" customHeight="1">
      <c r="A671" s="271" t="s">
        <v>45</v>
      </c>
      <c r="B671" s="34" t="s">
        <v>36</v>
      </c>
      <c r="C671" s="35">
        <f>IF(LEN!C39=0," ",LEN!C39)</f>
        <v>51</v>
      </c>
      <c r="D671" s="35" t="str">
        <f>IF(LEN!D39=0," ",LEN!D39)</f>
        <v xml:space="preserve"> </v>
      </c>
      <c r="E671" s="35" t="str">
        <f>IF(LEN!E39=0," ",LEN!E39)</f>
        <v xml:space="preserve"> </v>
      </c>
      <c r="F671" s="35">
        <f>IF(LEN!F39=0," ",LEN!F39)</f>
        <v>17</v>
      </c>
      <c r="G671" s="18"/>
    </row>
    <row r="672" spans="1:9" ht="17.100000000000001" customHeight="1">
      <c r="A672" s="271"/>
      <c r="B672" s="34" t="s">
        <v>10</v>
      </c>
      <c r="C672" s="35">
        <f>IF(ING!C39=0," ",ING!C39)</f>
        <v>55</v>
      </c>
      <c r="D672" s="35" t="str">
        <f>IF(ING!D39=0," ",ING!D39)</f>
        <v xml:space="preserve"> </v>
      </c>
      <c r="E672" s="35" t="str">
        <f>IF(ING!E39=0," ",ING!E39)</f>
        <v xml:space="preserve"> </v>
      </c>
      <c r="F672" s="35">
        <f>IF(ING!F39=0," ",ING!F39)</f>
        <v>18</v>
      </c>
      <c r="G672" s="18"/>
    </row>
    <row r="673" spans="1:9" ht="17.100000000000001" customHeight="1">
      <c r="A673" s="271"/>
      <c r="B673" s="34" t="s">
        <v>61</v>
      </c>
      <c r="C673" s="35">
        <f>IF('C.SOC'!C39=0," ",'C.SOC'!C39)</f>
        <v>55</v>
      </c>
      <c r="D673" s="35" t="str">
        <f>IF('C.SOC'!D39=0," ",'C.SOC'!D39)</f>
        <v xml:space="preserve"> </v>
      </c>
      <c r="E673" s="35" t="str">
        <f>IF('C.SOC'!E39=0," ",'C.SOC'!E39)</f>
        <v xml:space="preserve"> </v>
      </c>
      <c r="F673" s="35">
        <f>IF('C.SOC'!F39=0," ",'C.SOC'!F39)</f>
        <v>18</v>
      </c>
      <c r="G673" s="18"/>
    </row>
    <row r="674" spans="1:9" ht="17.100000000000001" customHeight="1">
      <c r="A674" s="271"/>
      <c r="B674" s="34" t="s">
        <v>43</v>
      </c>
      <c r="C674" s="35">
        <f>IF('E. FIS.'!C39=0," ",'E. FIS.'!C39)</f>
        <v>66</v>
      </c>
      <c r="D674" s="35" t="str">
        <f>IF('E. FIS.'!D39=0," ",'E. FIS.'!D39)</f>
        <v xml:space="preserve"> </v>
      </c>
      <c r="E674" s="35" t="str">
        <f>IF('E. FIS.'!E39=0," ",'E. FIS.'!E39)</f>
        <v xml:space="preserve"> </v>
      </c>
      <c r="F674" s="35">
        <f>IF('E. FIS.'!F39=0," ",'E. FIS.'!F39)</f>
        <v>22</v>
      </c>
      <c r="G674" s="18"/>
    </row>
    <row r="675" spans="1:9" ht="17.100000000000001" customHeight="1">
      <c r="A675" s="271"/>
      <c r="B675" s="34" t="s">
        <v>44</v>
      </c>
      <c r="C675" s="35">
        <f>IF(MUS.!C39=0," ",MUS.!C39)</f>
        <v>63</v>
      </c>
      <c r="D675" s="35" t="str">
        <f>IF(MUS.!D39=0," ",MUS.!D39)</f>
        <v xml:space="preserve"> </v>
      </c>
      <c r="E675" s="35" t="str">
        <f>IF(MUS.!E39=0," ",MUS.!E39)</f>
        <v xml:space="preserve"> </v>
      </c>
      <c r="F675" s="35">
        <f>IF(MUS.!F39=0," ",MUS.!F39)</f>
        <v>21</v>
      </c>
      <c r="G675" s="18"/>
    </row>
    <row r="676" spans="1:9" ht="17.100000000000001" customHeight="1">
      <c r="A676" s="271"/>
      <c r="B676" s="34" t="s">
        <v>11</v>
      </c>
      <c r="C676" s="35">
        <f>IF('A.PL. '!C39=0," ",'A.PL. '!C39)</f>
        <v>59</v>
      </c>
      <c r="D676" s="35" t="str">
        <f>IF('A.PL. '!D39=0," ",'A.PL. '!D39)</f>
        <v xml:space="preserve"> </v>
      </c>
      <c r="E676" s="35" t="str">
        <f>IF('A.PL. '!E39=0," ",'A.PL. '!E39)</f>
        <v xml:space="preserve"> </v>
      </c>
      <c r="F676" s="35">
        <f>IF('A.PL. '!F39=0," ",'A.PL. '!F39)</f>
        <v>20</v>
      </c>
      <c r="G676" s="18"/>
    </row>
    <row r="677" spans="1:9" ht="17.100000000000001" customHeight="1">
      <c r="A677" s="272" t="s">
        <v>64</v>
      </c>
      <c r="B677" s="34" t="s">
        <v>62</v>
      </c>
      <c r="C677" s="35">
        <f>IF(MAT!C39=0," ",MAT!C39)</f>
        <v>49</v>
      </c>
      <c r="D677" s="35" t="str">
        <f>IF(MAT!D39=0," ",MAT!D39)</f>
        <v xml:space="preserve"> </v>
      </c>
      <c r="E677" s="35" t="str">
        <f>IF(MAT!E39=0," ",MAT!E39)</f>
        <v xml:space="preserve"> </v>
      </c>
      <c r="F677" s="35">
        <f>IF(MAT!F39=0," ",MAT!F39)</f>
        <v>16</v>
      </c>
      <c r="G677" s="18"/>
    </row>
    <row r="678" spans="1:9" ht="17.100000000000001" customHeight="1">
      <c r="A678" s="272"/>
      <c r="B678" s="34" t="s">
        <v>101</v>
      </c>
      <c r="C678" s="35">
        <f>IF('T. TEC. GRAL'!C39=0," ",'T. TEC. GRAL'!C39)</f>
        <v>54</v>
      </c>
      <c r="D678" s="35" t="str">
        <f>IF('T. TEC. GRAL'!D39=0," ",'T. TEC. GRAL'!D39)</f>
        <v xml:space="preserve"> </v>
      </c>
      <c r="E678" s="35" t="str">
        <f>IF('T. TEC. GRAL'!E39=0," ",'T. TEC. GRAL'!E39)</f>
        <v xml:space="preserve"> </v>
      </c>
      <c r="F678" s="35">
        <f>IF('T. TEC. GRAL'!F39=0," ",'T. TEC. GRAL'!F39)</f>
        <v>18</v>
      </c>
      <c r="G678" s="18"/>
    </row>
    <row r="679" spans="1:9" ht="24" customHeight="1">
      <c r="A679" s="142" t="s">
        <v>79</v>
      </c>
      <c r="B679" s="34" t="s">
        <v>63</v>
      </c>
      <c r="C679" s="35">
        <f>IF('BIO-GEO'!C39=0," ",'BIO-GEO'!C39)</f>
        <v>53</v>
      </c>
      <c r="D679" s="35" t="str">
        <f>IF('BIO-GEO'!D39=0," ",'BIO-GEO'!D39)</f>
        <v xml:space="preserve"> </v>
      </c>
      <c r="E679" s="35" t="str">
        <f>IF('BIO-GEO'!E39=0," ",'BIO-GEO'!E39)</f>
        <v xml:space="preserve"> </v>
      </c>
      <c r="F679" s="35">
        <f>IF('BIO-GEO'!F39=0," ",'BIO-GEO'!F39)</f>
        <v>18</v>
      </c>
      <c r="G679" s="18"/>
    </row>
    <row r="680" spans="1:9" ht="17.100000000000001" customHeight="1">
      <c r="A680" s="271" t="s">
        <v>39</v>
      </c>
      <c r="B680" s="34" t="s">
        <v>54</v>
      </c>
      <c r="C680" s="35">
        <f>IF(PSI!C39=0," ",PSI!C39)</f>
        <v>47</v>
      </c>
      <c r="D680" s="35" t="str">
        <f>IF(PSI!D39=0," ",PSI!D39)</f>
        <v xml:space="preserve"> </v>
      </c>
      <c r="E680" s="35" t="str">
        <f>IF(PSI!E39=0," ",PSI!E39)</f>
        <v xml:space="preserve"> </v>
      </c>
      <c r="F680" s="35">
        <f>IF(PSI!F39=0," ",PSI!F39)</f>
        <v>16</v>
      </c>
      <c r="G680" s="18"/>
    </row>
    <row r="681" spans="1:9" ht="17.100000000000001" customHeight="1">
      <c r="A681" s="271"/>
      <c r="B681" s="34" t="s">
        <v>55</v>
      </c>
      <c r="C681" s="35">
        <f>IF('REL.'!C39=0," ",'REL.'!C39)</f>
        <v>61.083333333333336</v>
      </c>
      <c r="D681" s="35" t="str">
        <f>IF('REL.'!D39=0," ",'REL.'!D39)</f>
        <v xml:space="preserve"> </v>
      </c>
      <c r="E681" s="35" t="str">
        <f>IF('REL.'!E39=0," ",'REL.'!E39)</f>
        <v xml:space="preserve"> </v>
      </c>
      <c r="F681" s="35">
        <f>IF('REL.'!F39=0," ",'REL.'!F39)</f>
        <v>20</v>
      </c>
      <c r="G681" s="18"/>
    </row>
    <row r="682" spans="1:9" ht="15.95" customHeight="1">
      <c r="A682" s="143"/>
      <c r="B682" s="144"/>
      <c r="C682" s="38"/>
      <c r="D682" s="38"/>
      <c r="E682" s="38"/>
      <c r="F682" s="38"/>
      <c r="G682" s="18"/>
    </row>
    <row r="683" spans="1:9" ht="17.25" customHeight="1">
      <c r="A683" s="18"/>
      <c r="B683" s="18"/>
      <c r="C683" s="278" t="s">
        <v>42</v>
      </c>
      <c r="D683" s="278"/>
      <c r="E683" s="278"/>
      <c r="F683" s="18"/>
      <c r="G683" s="18"/>
    </row>
    <row r="684" spans="1:9" ht="15.95" customHeight="1">
      <c r="A684" s="270" t="str">
        <f t="shared" ref="A684" si="33">$A$3</f>
        <v>U. E. ABAROA B</v>
      </c>
      <c r="B684" s="270"/>
      <c r="C684" s="18"/>
      <c r="D684" s="18"/>
      <c r="E684" s="18"/>
      <c r="F684" s="182" t="str">
        <f>NOMINA!$D$2</f>
        <v>GESTION: 2026</v>
      </c>
      <c r="G684" s="18"/>
    </row>
    <row r="685" spans="1:9" s="14" customFormat="1" ht="21.95" customHeight="1">
      <c r="A685" s="273" t="str">
        <f>NOMINA!$B$2</f>
        <v>CURSO 2A</v>
      </c>
      <c r="B685" s="274"/>
      <c r="C685" s="280">
        <f>NOMINA!B41</f>
        <v>0</v>
      </c>
      <c r="D685" s="281"/>
      <c r="E685" s="281"/>
      <c r="F685" s="281"/>
      <c r="G685" s="49"/>
    </row>
    <row r="686" spans="1:9" ht="15.95" customHeight="1">
      <c r="A686" s="279">
        <f>NOMINA!A41</f>
        <v>36</v>
      </c>
      <c r="B686" s="52"/>
      <c r="C686" s="43" t="s">
        <v>5</v>
      </c>
      <c r="D686" s="271" t="s">
        <v>9</v>
      </c>
      <c r="E686" s="271"/>
      <c r="F686" s="179" t="s">
        <v>7</v>
      </c>
      <c r="G686" s="18"/>
    </row>
    <row r="687" spans="1:9" ht="15.95" customHeight="1">
      <c r="A687" s="279"/>
      <c r="B687" s="53"/>
      <c r="C687" s="178">
        <f>NOMINA!C41</f>
        <v>0</v>
      </c>
      <c r="D687" s="284">
        <f>NOMINA!D41</f>
        <v>0</v>
      </c>
      <c r="E687" s="284"/>
      <c r="F687" s="181">
        <f>NOMINA!F41</f>
        <v>0</v>
      </c>
      <c r="G687" s="18"/>
    </row>
    <row r="688" spans="1:9" s="16" customFormat="1" ht="15.95" customHeight="1">
      <c r="A688" s="275" t="s">
        <v>35</v>
      </c>
      <c r="B688" s="282" t="s">
        <v>37</v>
      </c>
      <c r="C688" s="30" t="s">
        <v>84</v>
      </c>
      <c r="D688" s="30" t="s">
        <v>82</v>
      </c>
      <c r="E688" s="30" t="s">
        <v>83</v>
      </c>
      <c r="F688" s="180" t="s">
        <v>38</v>
      </c>
      <c r="G688" s="31"/>
      <c r="I688" s="17"/>
    </row>
    <row r="689" spans="1:7" s="16" customFormat="1" ht="15.95" customHeight="1">
      <c r="A689" s="276"/>
      <c r="B689" s="283"/>
      <c r="C689" s="32" t="s">
        <v>33</v>
      </c>
      <c r="D689" s="32" t="s">
        <v>33</v>
      </c>
      <c r="E689" s="32" t="s">
        <v>33</v>
      </c>
      <c r="F689" s="46" t="s">
        <v>33</v>
      </c>
      <c r="G689" s="31"/>
    </row>
    <row r="690" spans="1:7" ht="17.100000000000001" customHeight="1">
      <c r="A690" s="271" t="s">
        <v>45</v>
      </c>
      <c r="B690" s="34" t="s">
        <v>36</v>
      </c>
      <c r="C690" s="35">
        <f>IF(LEN!C40=0," ",LEN!C40)</f>
        <v>45</v>
      </c>
      <c r="D690" s="35" t="str">
        <f>IF(LEN!D40=0," ",LEN!D40)</f>
        <v xml:space="preserve"> </v>
      </c>
      <c r="E690" s="35" t="str">
        <f>IF(LEN!E40=0," ",LEN!E40)</f>
        <v xml:space="preserve"> </v>
      </c>
      <c r="F690" s="35">
        <f>IF(LEN!F40=0," ",LEN!F40)</f>
        <v>15</v>
      </c>
      <c r="G690" s="18"/>
    </row>
    <row r="691" spans="1:7" ht="17.100000000000001" customHeight="1">
      <c r="A691" s="271"/>
      <c r="B691" s="34" t="s">
        <v>10</v>
      </c>
      <c r="C691" s="35">
        <f>IF(ING!C40=0," ",ING!C40)</f>
        <v>41</v>
      </c>
      <c r="D691" s="35" t="str">
        <f>IF(ING!D40=0," ",ING!D40)</f>
        <v xml:space="preserve"> </v>
      </c>
      <c r="E691" s="35" t="str">
        <f>IF(ING!E40=0," ",ING!E40)</f>
        <v xml:space="preserve"> </v>
      </c>
      <c r="F691" s="35">
        <f>IF(ING!F40=0," ",ING!F40)</f>
        <v>14</v>
      </c>
      <c r="G691" s="18"/>
    </row>
    <row r="692" spans="1:7" ht="17.100000000000001" customHeight="1">
      <c r="A692" s="271"/>
      <c r="B692" s="34" t="s">
        <v>61</v>
      </c>
      <c r="C692" s="35">
        <f>IF('C.SOC'!C40=0," ",'C.SOC'!C40)</f>
        <v>53</v>
      </c>
      <c r="D692" s="35" t="str">
        <f>IF('C.SOC'!D40=0," ",'C.SOC'!D40)</f>
        <v xml:space="preserve"> </v>
      </c>
      <c r="E692" s="35" t="str">
        <f>IF('C.SOC'!E40=0," ",'C.SOC'!E40)</f>
        <v xml:space="preserve"> </v>
      </c>
      <c r="F692" s="35">
        <f>IF('C.SOC'!F40=0," ",'C.SOC'!F40)</f>
        <v>18</v>
      </c>
      <c r="G692" s="18"/>
    </row>
    <row r="693" spans="1:7" ht="17.100000000000001" customHeight="1">
      <c r="A693" s="271"/>
      <c r="B693" s="34" t="s">
        <v>43</v>
      </c>
      <c r="C693" s="35">
        <f>IF('E. FIS.'!C40=0," ",'E. FIS.'!C40)</f>
        <v>51</v>
      </c>
      <c r="D693" s="35" t="str">
        <f>IF('E. FIS.'!D40=0," ",'E. FIS.'!D40)</f>
        <v xml:space="preserve"> </v>
      </c>
      <c r="E693" s="35" t="str">
        <f>IF('E. FIS.'!E40=0," ",'E. FIS.'!E40)</f>
        <v xml:space="preserve"> </v>
      </c>
      <c r="F693" s="35">
        <f>IF('E. FIS.'!F40=0," ",'E. FIS.'!F40)</f>
        <v>17</v>
      </c>
      <c r="G693" s="18"/>
    </row>
    <row r="694" spans="1:7" ht="17.100000000000001" customHeight="1">
      <c r="A694" s="271"/>
      <c r="B694" s="34" t="s">
        <v>44</v>
      </c>
      <c r="C694" s="35">
        <f>IF(MUS.!C40=0," ",MUS.!C40)</f>
        <v>57</v>
      </c>
      <c r="D694" s="35" t="str">
        <f>IF(MUS.!D40=0," ",MUS.!D40)</f>
        <v xml:space="preserve"> </v>
      </c>
      <c r="E694" s="35" t="str">
        <f>IF(MUS.!E40=0," ",MUS.!E40)</f>
        <v xml:space="preserve"> </v>
      </c>
      <c r="F694" s="35">
        <f>IF(MUS.!F40=0," ",MUS.!F40)</f>
        <v>19</v>
      </c>
      <c r="G694" s="18"/>
    </row>
    <row r="695" spans="1:7" ht="17.100000000000001" customHeight="1">
      <c r="A695" s="271"/>
      <c r="B695" s="34" t="s">
        <v>11</v>
      </c>
      <c r="C695" s="35">
        <f>IF('A.PL. '!C40=0," ",'A.PL. '!C40)</f>
        <v>70</v>
      </c>
      <c r="D695" s="35" t="str">
        <f>IF('A.PL. '!D40=0," ",'A.PL. '!D40)</f>
        <v xml:space="preserve"> </v>
      </c>
      <c r="E695" s="35" t="str">
        <f>IF('A.PL. '!E40=0," ",'A.PL. '!E40)</f>
        <v xml:space="preserve"> </v>
      </c>
      <c r="F695" s="35">
        <f>IF('A.PL. '!F40=0," ",'A.PL. '!F40)</f>
        <v>23</v>
      </c>
      <c r="G695" s="18"/>
    </row>
    <row r="696" spans="1:7" ht="17.100000000000001" customHeight="1">
      <c r="A696" s="272" t="s">
        <v>64</v>
      </c>
      <c r="B696" s="34" t="s">
        <v>62</v>
      </c>
      <c r="C696" s="35">
        <f>IF(MAT!C40=0," ",MAT!C40)</f>
        <v>47</v>
      </c>
      <c r="D696" s="35" t="str">
        <f>IF(MAT!D40=0," ",MAT!D40)</f>
        <v xml:space="preserve"> </v>
      </c>
      <c r="E696" s="35" t="str">
        <f>IF(MAT!E40=0," ",MAT!E40)</f>
        <v xml:space="preserve"> </v>
      </c>
      <c r="F696" s="35">
        <f>IF(MAT!F40=0," ",MAT!F40)</f>
        <v>16</v>
      </c>
      <c r="G696" s="18"/>
    </row>
    <row r="697" spans="1:7" ht="17.100000000000001" customHeight="1">
      <c r="A697" s="272"/>
      <c r="B697" s="34" t="s">
        <v>101</v>
      </c>
      <c r="C697" s="35">
        <f>IF('T. TEC. GRAL'!C40=0," ",'T. TEC. GRAL'!C40)</f>
        <v>43</v>
      </c>
      <c r="D697" s="35" t="str">
        <f>IF('T. TEC. GRAL'!D40=0," ",'T. TEC. GRAL'!D40)</f>
        <v xml:space="preserve"> </v>
      </c>
      <c r="E697" s="35" t="str">
        <f>IF('T. TEC. GRAL'!E40=0," ",'T. TEC. GRAL'!E40)</f>
        <v xml:space="preserve"> </v>
      </c>
      <c r="F697" s="35">
        <f>IF('T. TEC. GRAL'!F40=0," ",'T. TEC. GRAL'!F40)</f>
        <v>14</v>
      </c>
      <c r="G697" s="18"/>
    </row>
    <row r="698" spans="1:7" ht="24" customHeight="1">
      <c r="A698" s="142" t="s">
        <v>79</v>
      </c>
      <c r="B698" s="34" t="s">
        <v>63</v>
      </c>
      <c r="C698" s="35">
        <f>IF('BIO-GEO'!C40=0," ",'BIO-GEO'!C40)</f>
        <v>61</v>
      </c>
      <c r="D698" s="35" t="str">
        <f>IF('BIO-GEO'!D40=0," ",'BIO-GEO'!D40)</f>
        <v xml:space="preserve"> </v>
      </c>
      <c r="E698" s="35" t="str">
        <f>IF('BIO-GEO'!E40=0," ",'BIO-GEO'!E40)</f>
        <v xml:space="preserve"> </v>
      </c>
      <c r="F698" s="35">
        <f>IF('BIO-GEO'!F40=0," ",'BIO-GEO'!F40)</f>
        <v>20</v>
      </c>
      <c r="G698" s="18"/>
    </row>
    <row r="699" spans="1:7" ht="17.100000000000001" customHeight="1">
      <c r="A699" s="271" t="s">
        <v>39</v>
      </c>
      <c r="B699" s="34" t="s">
        <v>54</v>
      </c>
      <c r="C699" s="35">
        <f>IF(PSI!C40=0," ",PSI!C40)</f>
        <v>69</v>
      </c>
      <c r="D699" s="35" t="str">
        <f>IF(PSI!D40=0," ",PSI!D40)</f>
        <v xml:space="preserve"> </v>
      </c>
      <c r="E699" s="35" t="str">
        <f>IF(PSI!E40=0," ",PSI!E40)</f>
        <v xml:space="preserve"> </v>
      </c>
      <c r="F699" s="35">
        <f>IF(PSI!F40=0," ",PSI!F40)</f>
        <v>23</v>
      </c>
      <c r="G699" s="18"/>
    </row>
    <row r="700" spans="1:7" ht="17.100000000000001" customHeight="1">
      <c r="A700" s="271"/>
      <c r="B700" s="34" t="s">
        <v>55</v>
      </c>
      <c r="C700" s="35">
        <f>IF('REL.'!C40=0," ",'REL.'!C40)</f>
        <v>51.583333333333329</v>
      </c>
      <c r="D700" s="35" t="str">
        <f>IF('REL.'!D40=0," ",'REL.'!D40)</f>
        <v xml:space="preserve"> </v>
      </c>
      <c r="E700" s="35" t="str">
        <f>IF('REL.'!E40=0," ",'REL.'!E40)</f>
        <v xml:space="preserve"> </v>
      </c>
      <c r="F700" s="35">
        <f>IF('REL.'!F40=0," ",'REL.'!F40)</f>
        <v>17</v>
      </c>
      <c r="G700" s="18"/>
    </row>
    <row r="701" spans="1:7" ht="17.100000000000001" customHeight="1">
      <c r="A701" s="143"/>
      <c r="B701" s="144"/>
      <c r="C701" s="38"/>
      <c r="D701" s="38"/>
      <c r="E701" s="38"/>
      <c r="F701" s="38"/>
      <c r="G701" s="18"/>
    </row>
    <row r="702" spans="1:7" ht="14.25" customHeight="1">
      <c r="A702" s="143"/>
      <c r="B702" s="144"/>
      <c r="C702" s="38"/>
      <c r="D702" s="38"/>
      <c r="E702" s="38"/>
      <c r="F702" s="38"/>
      <c r="G702" s="18"/>
    </row>
    <row r="703" spans="1:7" ht="17.100000000000001" customHeight="1">
      <c r="A703" s="143"/>
      <c r="B703" s="144"/>
      <c r="C703" s="38"/>
      <c r="D703" s="38"/>
      <c r="E703" s="38"/>
      <c r="F703" s="38"/>
      <c r="G703" s="18"/>
    </row>
    <row r="704" spans="1:7" ht="17.25" customHeight="1">
      <c r="A704" s="18"/>
      <c r="B704" s="18"/>
      <c r="C704" s="278" t="s">
        <v>42</v>
      </c>
      <c r="D704" s="278"/>
      <c r="E704" s="278"/>
      <c r="F704" s="18"/>
      <c r="G704" s="18"/>
    </row>
    <row r="705" spans="1:9" ht="15.95" customHeight="1">
      <c r="A705" s="270" t="str">
        <f t="shared" ref="A705" si="34">$A$3</f>
        <v>U. E. ABAROA B</v>
      </c>
      <c r="B705" s="270"/>
      <c r="C705" s="18"/>
      <c r="D705" s="18"/>
      <c r="E705" s="18"/>
      <c r="F705" s="182" t="str">
        <f>NOMINA!$D$2</f>
        <v>GESTION: 2026</v>
      </c>
      <c r="G705" s="18"/>
    </row>
    <row r="706" spans="1:9" s="14" customFormat="1" ht="21.95" customHeight="1">
      <c r="A706" s="273" t="str">
        <f>NOMINA!$B$2</f>
        <v>CURSO 2A</v>
      </c>
      <c r="B706" s="274"/>
      <c r="C706" s="280">
        <f>NOMINA!B42</f>
        <v>0</v>
      </c>
      <c r="D706" s="281"/>
      <c r="E706" s="281"/>
      <c r="F706" s="281"/>
      <c r="G706" s="49"/>
    </row>
    <row r="707" spans="1:9" ht="15.95" customHeight="1">
      <c r="A707" s="279">
        <f>NOMINA!A42</f>
        <v>37</v>
      </c>
      <c r="B707" s="52"/>
      <c r="C707" s="43" t="s">
        <v>5</v>
      </c>
      <c r="D707" s="271" t="s">
        <v>9</v>
      </c>
      <c r="E707" s="271"/>
      <c r="F707" s="179" t="s">
        <v>7</v>
      </c>
      <c r="G707" s="18"/>
    </row>
    <row r="708" spans="1:9" ht="15.95" customHeight="1">
      <c r="A708" s="279"/>
      <c r="B708" s="53"/>
      <c r="C708" s="178">
        <f>NOMINA!C42</f>
        <v>0</v>
      </c>
      <c r="D708" s="284">
        <f>NOMINA!D42</f>
        <v>0</v>
      </c>
      <c r="E708" s="284"/>
      <c r="F708" s="181">
        <f>NOMINA!F42</f>
        <v>0</v>
      </c>
      <c r="G708" s="18"/>
    </row>
    <row r="709" spans="1:9" s="16" customFormat="1" ht="15.95" customHeight="1">
      <c r="A709" s="275" t="s">
        <v>35</v>
      </c>
      <c r="B709" s="282" t="s">
        <v>37</v>
      </c>
      <c r="C709" s="30" t="s">
        <v>84</v>
      </c>
      <c r="D709" s="30" t="s">
        <v>82</v>
      </c>
      <c r="E709" s="30" t="s">
        <v>83</v>
      </c>
      <c r="F709" s="180" t="s">
        <v>38</v>
      </c>
      <c r="G709" s="31"/>
      <c r="I709" s="17"/>
    </row>
    <row r="710" spans="1:9" s="16" customFormat="1" ht="15.95" customHeight="1">
      <c r="A710" s="276"/>
      <c r="B710" s="283"/>
      <c r="C710" s="32" t="s">
        <v>33</v>
      </c>
      <c r="D710" s="32" t="s">
        <v>33</v>
      </c>
      <c r="E710" s="32" t="s">
        <v>33</v>
      </c>
      <c r="F710" s="46" t="s">
        <v>33</v>
      </c>
      <c r="G710" s="31"/>
    </row>
    <row r="711" spans="1:9" ht="17.100000000000001" customHeight="1">
      <c r="A711" s="271" t="s">
        <v>45</v>
      </c>
      <c r="B711" s="34" t="s">
        <v>36</v>
      </c>
      <c r="C711" s="35" t="str">
        <f>IF(LEN!C41=0," ",LEN!C41)</f>
        <v xml:space="preserve"> </v>
      </c>
      <c r="D711" s="35" t="str">
        <f>IF(LEN!D41=0," ",LEN!D41)</f>
        <v xml:space="preserve"> </v>
      </c>
      <c r="E711" s="35" t="str">
        <f>IF(LEN!E41=0," ",LEN!E41)</f>
        <v xml:space="preserve"> </v>
      </c>
      <c r="F711" s="35" t="str">
        <f>IF(LEN!F41=0," ",LEN!F41)</f>
        <v xml:space="preserve"> </v>
      </c>
      <c r="G711" s="18"/>
    </row>
    <row r="712" spans="1:9" ht="17.100000000000001" customHeight="1">
      <c r="A712" s="271"/>
      <c r="B712" s="34" t="s">
        <v>10</v>
      </c>
      <c r="C712" s="35" t="str">
        <f>IF(ING!C41=0," ",ING!C41)</f>
        <v xml:space="preserve"> </v>
      </c>
      <c r="D712" s="35" t="str">
        <f>IF(ING!D41=0," ",ING!D41)</f>
        <v xml:space="preserve"> </v>
      </c>
      <c r="E712" s="35" t="str">
        <f>IF(ING!E41=0," ",ING!E41)</f>
        <v xml:space="preserve"> </v>
      </c>
      <c r="F712" s="35" t="str">
        <f>IF(ING!F41=0," ",ING!F41)</f>
        <v xml:space="preserve"> </v>
      </c>
      <c r="G712" s="18"/>
    </row>
    <row r="713" spans="1:9" ht="17.100000000000001" customHeight="1">
      <c r="A713" s="271"/>
      <c r="B713" s="34" t="s">
        <v>61</v>
      </c>
      <c r="C713" s="35" t="str">
        <f>IF('C.SOC'!C41=0," ",'C.SOC'!C41)</f>
        <v xml:space="preserve"> </v>
      </c>
      <c r="D713" s="35" t="str">
        <f>IF('C.SOC'!D41=0," ",'C.SOC'!D41)</f>
        <v xml:space="preserve"> </v>
      </c>
      <c r="E713" s="35" t="str">
        <f>IF('C.SOC'!E41=0," ",'C.SOC'!E41)</f>
        <v xml:space="preserve"> </v>
      </c>
      <c r="F713" s="35" t="str">
        <f>IF('C.SOC'!F41=0," ",'C.SOC'!F41)</f>
        <v xml:space="preserve"> </v>
      </c>
      <c r="G713" s="18"/>
    </row>
    <row r="714" spans="1:9" ht="17.100000000000001" customHeight="1">
      <c r="A714" s="271"/>
      <c r="B714" s="34" t="s">
        <v>43</v>
      </c>
      <c r="C714" s="35" t="str">
        <f>IF('E. FIS.'!C41=0," ",'E. FIS.'!C41)</f>
        <v xml:space="preserve"> </v>
      </c>
      <c r="D714" s="35" t="str">
        <f>IF('E. FIS.'!D41=0," ",'E. FIS.'!D41)</f>
        <v xml:space="preserve"> </v>
      </c>
      <c r="E714" s="35" t="str">
        <f>IF('E. FIS.'!E41=0," ",'E. FIS.'!E41)</f>
        <v xml:space="preserve"> </v>
      </c>
      <c r="F714" s="35" t="str">
        <f>IF('E. FIS.'!F41=0," ",'E. FIS.'!F41)</f>
        <v xml:space="preserve"> </v>
      </c>
      <c r="G714" s="18"/>
    </row>
    <row r="715" spans="1:9" ht="17.100000000000001" customHeight="1">
      <c r="A715" s="271"/>
      <c r="B715" s="34" t="s">
        <v>44</v>
      </c>
      <c r="C715" s="35" t="str">
        <f>IF(MUS.!C41=0," ",MUS.!C41)</f>
        <v xml:space="preserve"> </v>
      </c>
      <c r="D715" s="35" t="str">
        <f>IF(MUS.!D41=0," ",MUS.!D41)</f>
        <v xml:space="preserve"> </v>
      </c>
      <c r="E715" s="35" t="str">
        <f>IF(MUS.!E41=0," ",MUS.!E41)</f>
        <v xml:space="preserve"> </v>
      </c>
      <c r="F715" s="35" t="str">
        <f>IF(MUS.!F41=0," ",MUS.!F41)</f>
        <v xml:space="preserve"> </v>
      </c>
      <c r="G715" s="18"/>
    </row>
    <row r="716" spans="1:9" ht="17.100000000000001" customHeight="1">
      <c r="A716" s="271"/>
      <c r="B716" s="34" t="s">
        <v>11</v>
      </c>
      <c r="C716" s="35" t="str">
        <f>IF('A.PL. '!C41=0," ",'A.PL. '!C41)</f>
        <v xml:space="preserve"> </v>
      </c>
      <c r="D716" s="35" t="str">
        <f>IF('A.PL. '!D41=0," ",'A.PL. '!D41)</f>
        <v xml:space="preserve"> </v>
      </c>
      <c r="E716" s="35" t="str">
        <f>IF('A.PL. '!E41=0," ",'A.PL. '!E41)</f>
        <v xml:space="preserve"> </v>
      </c>
      <c r="F716" s="35" t="str">
        <f>IF('A.PL. '!F41=0," ",'A.PL. '!F41)</f>
        <v xml:space="preserve"> </v>
      </c>
      <c r="G716" s="18"/>
    </row>
    <row r="717" spans="1:9" ht="17.100000000000001" customHeight="1">
      <c r="A717" s="272" t="s">
        <v>64</v>
      </c>
      <c r="B717" s="34" t="s">
        <v>62</v>
      </c>
      <c r="C717" s="35" t="str">
        <f>IF(MAT!C41=0," ",MAT!C41)</f>
        <v xml:space="preserve"> </v>
      </c>
      <c r="D717" s="35" t="str">
        <f>IF(MAT!D41=0," ",MAT!D41)</f>
        <v xml:space="preserve"> </v>
      </c>
      <c r="E717" s="35" t="str">
        <f>IF(MAT!E41=0," ",MAT!E41)</f>
        <v xml:space="preserve"> </v>
      </c>
      <c r="F717" s="35" t="str">
        <f>IF(MAT!F41=0," ",MAT!F41)</f>
        <v xml:space="preserve"> </v>
      </c>
      <c r="G717" s="18"/>
    </row>
    <row r="718" spans="1:9" ht="17.100000000000001" customHeight="1">
      <c r="A718" s="272"/>
      <c r="B718" s="34" t="s">
        <v>101</v>
      </c>
      <c r="C718" s="35" t="str">
        <f>IF('T. TEC. GRAL'!C41=0," ",'T. TEC. GRAL'!C41)</f>
        <v xml:space="preserve"> </v>
      </c>
      <c r="D718" s="35" t="str">
        <f>IF('T. TEC. GRAL'!D41=0," ",'T. TEC. GRAL'!D41)</f>
        <v xml:space="preserve"> </v>
      </c>
      <c r="E718" s="35" t="str">
        <f>IF('T. TEC. GRAL'!E41=0," ",'T. TEC. GRAL'!E41)</f>
        <v xml:space="preserve"> </v>
      </c>
      <c r="F718" s="35" t="str">
        <f>IF('T. TEC. GRAL'!F41=0," ",'T. TEC. GRAL'!F41)</f>
        <v xml:space="preserve"> </v>
      </c>
      <c r="G718" s="18"/>
    </row>
    <row r="719" spans="1:9" ht="24" customHeight="1">
      <c r="A719" s="142" t="s">
        <v>79</v>
      </c>
      <c r="B719" s="34" t="s">
        <v>63</v>
      </c>
      <c r="C719" s="35" t="str">
        <f>IF('BIO-GEO'!C41=0," ",'BIO-GEO'!C41)</f>
        <v xml:space="preserve"> </v>
      </c>
      <c r="D719" s="35" t="str">
        <f>IF('BIO-GEO'!D41=0," ",'BIO-GEO'!D41)</f>
        <v xml:space="preserve"> </v>
      </c>
      <c r="E719" s="35" t="str">
        <f>IF('BIO-GEO'!E41=0," ",'BIO-GEO'!E41)</f>
        <v xml:space="preserve"> </v>
      </c>
      <c r="F719" s="35" t="str">
        <f>IF('BIO-GEO'!F41=0," ",'BIO-GEO'!F41)</f>
        <v xml:space="preserve"> </v>
      </c>
      <c r="G719" s="18"/>
    </row>
    <row r="720" spans="1:9" ht="17.100000000000001" customHeight="1">
      <c r="A720" s="271" t="s">
        <v>39</v>
      </c>
      <c r="B720" s="34" t="s">
        <v>54</v>
      </c>
      <c r="C720" s="35" t="str">
        <f>IF(PSI!C41=0," ",PSI!C41)</f>
        <v xml:space="preserve"> </v>
      </c>
      <c r="D720" s="35" t="str">
        <f>IF(PSI!D41=0," ",PSI!D41)</f>
        <v xml:space="preserve"> </v>
      </c>
      <c r="E720" s="35" t="str">
        <f>IF(PSI!E41=0," ",PSI!E41)</f>
        <v xml:space="preserve"> </v>
      </c>
      <c r="F720" s="35" t="str">
        <f>IF(PSI!F41=0," ",PSI!F41)</f>
        <v xml:space="preserve"> </v>
      </c>
      <c r="G720" s="18"/>
    </row>
    <row r="721" spans="1:9" ht="17.100000000000001" customHeight="1">
      <c r="A721" s="271"/>
      <c r="B721" s="34" t="s">
        <v>55</v>
      </c>
      <c r="C721" s="35" t="str">
        <f>IF('REL.'!C41=0," ",'REL.'!C41)</f>
        <v xml:space="preserve"> </v>
      </c>
      <c r="D721" s="35" t="str">
        <f>IF('REL.'!D41=0," ",'REL.'!D41)</f>
        <v xml:space="preserve"> </v>
      </c>
      <c r="E721" s="35" t="str">
        <f>IF('REL.'!E41=0," ",'REL.'!E41)</f>
        <v xml:space="preserve"> </v>
      </c>
      <c r="F721" s="35" t="str">
        <f>IF('REL.'!F41=0," ",'REL.'!F41)</f>
        <v xml:space="preserve"> </v>
      </c>
      <c r="G721" s="18"/>
    </row>
    <row r="722" spans="1:9" ht="15.95" customHeight="1">
      <c r="A722" s="143"/>
      <c r="B722" s="144"/>
      <c r="C722" s="38"/>
      <c r="D722" s="38"/>
      <c r="E722" s="38"/>
      <c r="F722" s="38"/>
      <c r="G722" s="18"/>
    </row>
    <row r="723" spans="1:9" ht="15.95" customHeight="1">
      <c r="A723" s="143"/>
      <c r="B723" s="144"/>
      <c r="C723" s="38"/>
      <c r="D723" s="38"/>
      <c r="E723" s="38"/>
      <c r="F723" s="38"/>
      <c r="G723" s="18"/>
    </row>
    <row r="724" spans="1:9" ht="17.25" customHeight="1">
      <c r="A724" s="18"/>
      <c r="B724" s="18"/>
      <c r="C724" s="278" t="s">
        <v>42</v>
      </c>
      <c r="D724" s="278"/>
      <c r="E724" s="278"/>
      <c r="F724" s="18"/>
      <c r="G724" s="18"/>
    </row>
    <row r="725" spans="1:9" ht="15.95" customHeight="1">
      <c r="A725" s="270" t="str">
        <f t="shared" ref="A725" si="35">$A$3</f>
        <v>U. E. ABAROA B</v>
      </c>
      <c r="B725" s="270"/>
      <c r="C725" s="18"/>
      <c r="D725" s="18"/>
      <c r="E725" s="18"/>
      <c r="F725" s="182" t="str">
        <f>NOMINA!$D$2</f>
        <v>GESTION: 2026</v>
      </c>
      <c r="G725" s="18"/>
    </row>
    <row r="726" spans="1:9" s="14" customFormat="1" ht="21.95" customHeight="1">
      <c r="A726" s="273" t="str">
        <f>NOMINA!$B$2</f>
        <v>CURSO 2A</v>
      </c>
      <c r="B726" s="274"/>
      <c r="C726" s="280">
        <f>NOMINA!B43</f>
        <v>0</v>
      </c>
      <c r="D726" s="281"/>
      <c r="E726" s="281"/>
      <c r="F726" s="281"/>
      <c r="G726" s="49"/>
    </row>
    <row r="727" spans="1:9" ht="15.95" customHeight="1">
      <c r="A727" s="279">
        <f>NOMINA!A43</f>
        <v>38</v>
      </c>
      <c r="B727" s="52"/>
      <c r="C727" s="43" t="s">
        <v>5</v>
      </c>
      <c r="D727" s="271" t="s">
        <v>9</v>
      </c>
      <c r="E727" s="271"/>
      <c r="F727" s="179" t="s">
        <v>7</v>
      </c>
      <c r="G727" s="18"/>
    </row>
    <row r="728" spans="1:9" ht="15.95" customHeight="1">
      <c r="A728" s="279"/>
      <c r="B728" s="53"/>
      <c r="C728" s="178">
        <f>NOMINA!C43</f>
        <v>0</v>
      </c>
      <c r="D728" s="284">
        <f>NOMINA!D43</f>
        <v>0</v>
      </c>
      <c r="E728" s="284"/>
      <c r="F728" s="181">
        <f>NOMINA!F43</f>
        <v>0</v>
      </c>
      <c r="G728" s="18"/>
    </row>
    <row r="729" spans="1:9" s="16" customFormat="1" ht="15.95" customHeight="1">
      <c r="A729" s="275" t="s">
        <v>35</v>
      </c>
      <c r="B729" s="282" t="s">
        <v>37</v>
      </c>
      <c r="C729" s="30" t="s">
        <v>84</v>
      </c>
      <c r="D729" s="30" t="s">
        <v>82</v>
      </c>
      <c r="E729" s="30" t="s">
        <v>83</v>
      </c>
      <c r="F729" s="180" t="s">
        <v>38</v>
      </c>
      <c r="G729" s="31"/>
      <c r="I729" s="17"/>
    </row>
    <row r="730" spans="1:9" s="16" customFormat="1" ht="15.95" customHeight="1">
      <c r="A730" s="276"/>
      <c r="B730" s="283"/>
      <c r="C730" s="32" t="s">
        <v>33</v>
      </c>
      <c r="D730" s="32" t="s">
        <v>33</v>
      </c>
      <c r="E730" s="32" t="s">
        <v>33</v>
      </c>
      <c r="F730" s="46" t="s">
        <v>33</v>
      </c>
      <c r="G730" s="31"/>
    </row>
    <row r="731" spans="1:9" ht="17.100000000000001" customHeight="1">
      <c r="A731" s="271" t="s">
        <v>45</v>
      </c>
      <c r="B731" s="34" t="s">
        <v>36</v>
      </c>
      <c r="C731" s="35" t="str">
        <f>IF(LEN!C42=0," ",LEN!C42)</f>
        <v xml:space="preserve"> </v>
      </c>
      <c r="D731" s="35" t="str">
        <f>IF(LEN!D42=0," ",LEN!D42)</f>
        <v xml:space="preserve"> </v>
      </c>
      <c r="E731" s="35" t="str">
        <f>IF(LEN!E42=0," ",LEN!E42)</f>
        <v xml:space="preserve"> </v>
      </c>
      <c r="F731" s="35" t="str">
        <f>IF(LEN!F42=0," ",LEN!F42)</f>
        <v xml:space="preserve"> </v>
      </c>
      <c r="G731" s="18"/>
    </row>
    <row r="732" spans="1:9" ht="17.100000000000001" customHeight="1">
      <c r="A732" s="271"/>
      <c r="B732" s="34" t="s">
        <v>10</v>
      </c>
      <c r="C732" s="35" t="str">
        <f>IF(ING!C42=0," ",ING!C42)</f>
        <v xml:space="preserve"> </v>
      </c>
      <c r="D732" s="35" t="str">
        <f>IF(ING!D42=0," ",ING!D42)</f>
        <v xml:space="preserve"> </v>
      </c>
      <c r="E732" s="35" t="str">
        <f>IF(ING!E42=0," ",ING!E42)</f>
        <v xml:space="preserve"> </v>
      </c>
      <c r="F732" s="35" t="str">
        <f>IF(ING!F42=0," ",ING!F42)</f>
        <v xml:space="preserve"> </v>
      </c>
      <c r="G732" s="18"/>
    </row>
    <row r="733" spans="1:9" ht="17.100000000000001" customHeight="1">
      <c r="A733" s="271"/>
      <c r="B733" s="34" t="s">
        <v>61</v>
      </c>
      <c r="C733" s="35" t="str">
        <f>IF('C.SOC'!C42=0," ",'C.SOC'!C42)</f>
        <v xml:space="preserve"> </v>
      </c>
      <c r="D733" s="35" t="str">
        <f>IF('C.SOC'!D42=0," ",'C.SOC'!D42)</f>
        <v xml:space="preserve"> </v>
      </c>
      <c r="E733" s="35" t="str">
        <f>IF('C.SOC'!E42=0," ",'C.SOC'!E42)</f>
        <v xml:space="preserve"> </v>
      </c>
      <c r="F733" s="35" t="str">
        <f>IF('C.SOC'!F42=0," ",'C.SOC'!F42)</f>
        <v xml:space="preserve"> </v>
      </c>
      <c r="G733" s="18"/>
    </row>
    <row r="734" spans="1:9" ht="17.100000000000001" customHeight="1">
      <c r="A734" s="271"/>
      <c r="B734" s="34" t="s">
        <v>43</v>
      </c>
      <c r="C734" s="35" t="str">
        <f>IF('E. FIS.'!C42=0," ",'E. FIS.'!C42)</f>
        <v xml:space="preserve"> </v>
      </c>
      <c r="D734" s="35" t="str">
        <f>IF('E. FIS.'!D42=0," ",'E. FIS.'!D42)</f>
        <v xml:space="preserve"> </v>
      </c>
      <c r="E734" s="35" t="str">
        <f>IF('E. FIS.'!E42=0," ",'E. FIS.'!E42)</f>
        <v xml:space="preserve"> </v>
      </c>
      <c r="F734" s="35" t="str">
        <f>IF('E. FIS.'!F42=0," ",'E. FIS.'!F42)</f>
        <v xml:space="preserve"> </v>
      </c>
      <c r="G734" s="18"/>
    </row>
    <row r="735" spans="1:9" ht="17.100000000000001" customHeight="1">
      <c r="A735" s="271"/>
      <c r="B735" s="34" t="s">
        <v>44</v>
      </c>
      <c r="C735" s="35" t="str">
        <f>IF(MUS.!C42=0," ",MUS.!C42)</f>
        <v xml:space="preserve"> </v>
      </c>
      <c r="D735" s="35" t="str">
        <f>IF(MUS.!D42=0," ",MUS.!D42)</f>
        <v xml:space="preserve"> </v>
      </c>
      <c r="E735" s="35" t="str">
        <f>IF(MUS.!E42=0," ",MUS.!E42)</f>
        <v xml:space="preserve"> </v>
      </c>
      <c r="F735" s="35" t="str">
        <f>IF(MUS.!F42=0," ",MUS.!F42)</f>
        <v xml:space="preserve"> </v>
      </c>
      <c r="G735" s="18"/>
    </row>
    <row r="736" spans="1:9" ht="17.100000000000001" customHeight="1">
      <c r="A736" s="271"/>
      <c r="B736" s="34" t="s">
        <v>11</v>
      </c>
      <c r="C736" s="35" t="str">
        <f>IF('A.PL. '!C42=0," ",'A.PL. '!C42)</f>
        <v xml:space="preserve"> </v>
      </c>
      <c r="D736" s="35" t="str">
        <f>IF('A.PL. '!D42=0," ",'A.PL. '!D42)</f>
        <v xml:space="preserve"> </v>
      </c>
      <c r="E736" s="35" t="str">
        <f>IF('A.PL. '!E42=0," ",'A.PL. '!E42)</f>
        <v xml:space="preserve"> </v>
      </c>
      <c r="F736" s="35" t="str">
        <f>IF('A.PL. '!F42=0," ",'A.PL. '!F42)</f>
        <v xml:space="preserve"> </v>
      </c>
      <c r="G736" s="18"/>
    </row>
    <row r="737" spans="1:9" ht="17.100000000000001" customHeight="1">
      <c r="A737" s="272" t="s">
        <v>64</v>
      </c>
      <c r="B737" s="34" t="s">
        <v>62</v>
      </c>
      <c r="C737" s="35" t="str">
        <f>IF(MAT!C42=0," ",MAT!C42)</f>
        <v xml:space="preserve"> </v>
      </c>
      <c r="D737" s="35" t="str">
        <f>IF(MAT!D42=0," ",MAT!D42)</f>
        <v xml:space="preserve"> </v>
      </c>
      <c r="E737" s="35" t="str">
        <f>IF(MAT!E42=0," ",MAT!E42)</f>
        <v xml:space="preserve"> </v>
      </c>
      <c r="F737" s="35" t="str">
        <f>IF(MAT!F42=0," ",MAT!F42)</f>
        <v xml:space="preserve"> </v>
      </c>
      <c r="G737" s="18"/>
    </row>
    <row r="738" spans="1:9" ht="17.100000000000001" customHeight="1">
      <c r="A738" s="272"/>
      <c r="B738" s="34" t="s">
        <v>101</v>
      </c>
      <c r="C738" s="35" t="str">
        <f>IF('T. TEC. GRAL'!C42=0," ",'T. TEC. GRAL'!C42)</f>
        <v xml:space="preserve"> </v>
      </c>
      <c r="D738" s="35" t="str">
        <f>IF('T. TEC. GRAL'!D42=0," ",'T. TEC. GRAL'!D42)</f>
        <v xml:space="preserve"> </v>
      </c>
      <c r="E738" s="35" t="str">
        <f>IF('T. TEC. GRAL'!E42=0," ",'T. TEC. GRAL'!E42)</f>
        <v xml:space="preserve"> </v>
      </c>
      <c r="F738" s="35" t="str">
        <f>IF('T. TEC. GRAL'!F42=0," ",'T. TEC. GRAL'!F42)</f>
        <v xml:space="preserve"> </v>
      </c>
      <c r="G738" s="18"/>
    </row>
    <row r="739" spans="1:9" ht="24" customHeight="1">
      <c r="A739" s="142" t="s">
        <v>79</v>
      </c>
      <c r="B739" s="34" t="s">
        <v>63</v>
      </c>
      <c r="C739" s="35" t="str">
        <f>IF('BIO-GEO'!C42=0," ",'BIO-GEO'!C42)</f>
        <v xml:space="preserve"> </v>
      </c>
      <c r="D739" s="35" t="str">
        <f>IF('BIO-GEO'!D42=0," ",'BIO-GEO'!D42)</f>
        <v xml:space="preserve"> </v>
      </c>
      <c r="E739" s="35" t="str">
        <f>IF('BIO-GEO'!E42=0," ",'BIO-GEO'!E42)</f>
        <v xml:space="preserve"> </v>
      </c>
      <c r="F739" s="35" t="str">
        <f>IF('BIO-GEO'!F42=0," ",'BIO-GEO'!F42)</f>
        <v xml:space="preserve"> </v>
      </c>
      <c r="G739" s="18"/>
    </row>
    <row r="740" spans="1:9" ht="17.100000000000001" customHeight="1">
      <c r="A740" s="271" t="s">
        <v>39</v>
      </c>
      <c r="B740" s="34" t="s">
        <v>54</v>
      </c>
      <c r="C740" s="35" t="str">
        <f>IF(PSI!C42=0," ",PSI!C42)</f>
        <v xml:space="preserve"> </v>
      </c>
      <c r="D740" s="35" t="str">
        <f>IF(PSI!D42=0," ",PSI!D42)</f>
        <v xml:space="preserve"> </v>
      </c>
      <c r="E740" s="35" t="str">
        <f>IF(PSI!E42=0," ",PSI!E42)</f>
        <v xml:space="preserve"> </v>
      </c>
      <c r="F740" s="35" t="str">
        <f>IF(PSI!F42=0," ",PSI!F42)</f>
        <v xml:space="preserve"> </v>
      </c>
      <c r="G740" s="18"/>
    </row>
    <row r="741" spans="1:9" ht="17.100000000000001" customHeight="1">
      <c r="A741" s="271"/>
      <c r="B741" s="34" t="s">
        <v>55</v>
      </c>
      <c r="C741" s="35" t="str">
        <f>IF('REL.'!C42=0," ",'REL.'!C42)</f>
        <v xml:space="preserve"> </v>
      </c>
      <c r="D741" s="35" t="str">
        <f>IF('REL.'!D42=0," ",'REL.'!D42)</f>
        <v xml:space="preserve"> </v>
      </c>
      <c r="E741" s="35" t="str">
        <f>IF('REL.'!E42=0," ",'REL.'!E42)</f>
        <v xml:space="preserve"> </v>
      </c>
      <c r="F741" s="35" t="str">
        <f>IF('REL.'!F42=0," ",'REL.'!F42)</f>
        <v xml:space="preserve"> </v>
      </c>
      <c r="G741" s="18"/>
    </row>
    <row r="742" spans="1:9" ht="17.100000000000001" customHeight="1">
      <c r="A742" s="143"/>
      <c r="B742" s="144"/>
      <c r="C742" s="38"/>
      <c r="D742" s="38"/>
      <c r="E742" s="38"/>
      <c r="F742" s="38"/>
      <c r="G742" s="18"/>
    </row>
    <row r="743" spans="1:9" ht="17.100000000000001" customHeight="1">
      <c r="A743" s="143"/>
      <c r="B743" s="144"/>
      <c r="C743" s="38"/>
      <c r="D743" s="38"/>
      <c r="E743" s="38"/>
      <c r="F743" s="38"/>
      <c r="G743" s="18"/>
    </row>
    <row r="744" spans="1:9" ht="18.75" customHeight="1">
      <c r="A744" s="143"/>
      <c r="B744" s="144"/>
      <c r="C744" s="38"/>
      <c r="D744" s="38"/>
      <c r="E744" s="38"/>
      <c r="F744" s="38"/>
      <c r="G744" s="18"/>
    </row>
    <row r="745" spans="1:9" ht="17.25" customHeight="1">
      <c r="A745" s="18"/>
      <c r="B745" s="18"/>
      <c r="C745" s="278" t="s">
        <v>42</v>
      </c>
      <c r="D745" s="278"/>
      <c r="E745" s="278"/>
      <c r="F745" s="18"/>
      <c r="G745" s="18"/>
    </row>
    <row r="746" spans="1:9" ht="15.95" customHeight="1">
      <c r="A746" s="270" t="str">
        <f t="shared" ref="A746" si="36">$A$3</f>
        <v>U. E. ABAROA B</v>
      </c>
      <c r="B746" s="270"/>
      <c r="C746" s="18"/>
      <c r="D746" s="18"/>
      <c r="E746" s="18"/>
      <c r="F746" s="182" t="str">
        <f>NOMINA!$D$2</f>
        <v>GESTION: 2026</v>
      </c>
      <c r="G746" s="18"/>
    </row>
    <row r="747" spans="1:9" s="14" customFormat="1" ht="21.95" customHeight="1">
      <c r="A747" s="273" t="str">
        <f>NOMINA!$B$2</f>
        <v>CURSO 2A</v>
      </c>
      <c r="B747" s="274"/>
      <c r="C747" s="280">
        <f>NOMINA!B44</f>
        <v>0</v>
      </c>
      <c r="D747" s="281"/>
      <c r="E747" s="281"/>
      <c r="F747" s="281"/>
      <c r="G747" s="49"/>
    </row>
    <row r="748" spans="1:9" ht="15.95" customHeight="1">
      <c r="A748" s="279">
        <f>NOMINA!A44</f>
        <v>39</v>
      </c>
      <c r="B748" s="52"/>
      <c r="C748" s="43" t="s">
        <v>5</v>
      </c>
      <c r="D748" s="271" t="s">
        <v>9</v>
      </c>
      <c r="E748" s="271"/>
      <c r="F748" s="179" t="s">
        <v>7</v>
      </c>
      <c r="G748" s="18"/>
    </row>
    <row r="749" spans="1:9" ht="15.95" customHeight="1">
      <c r="A749" s="279"/>
      <c r="B749" s="53"/>
      <c r="C749" s="178">
        <f>NOMINA!C44</f>
        <v>0</v>
      </c>
      <c r="D749" s="284">
        <f>NOMINA!D44</f>
        <v>0</v>
      </c>
      <c r="E749" s="284"/>
      <c r="F749" s="181">
        <f>NOMINA!F44</f>
        <v>0</v>
      </c>
      <c r="G749" s="18"/>
    </row>
    <row r="750" spans="1:9" s="16" customFormat="1" ht="15.95" customHeight="1">
      <c r="A750" s="275" t="s">
        <v>35</v>
      </c>
      <c r="B750" s="282" t="s">
        <v>37</v>
      </c>
      <c r="C750" s="30" t="s">
        <v>84</v>
      </c>
      <c r="D750" s="30" t="s">
        <v>82</v>
      </c>
      <c r="E750" s="30" t="s">
        <v>83</v>
      </c>
      <c r="F750" s="180" t="s">
        <v>38</v>
      </c>
      <c r="G750" s="31"/>
      <c r="I750" s="17"/>
    </row>
    <row r="751" spans="1:9" s="16" customFormat="1" ht="15.95" customHeight="1">
      <c r="A751" s="276"/>
      <c r="B751" s="283"/>
      <c r="C751" s="32" t="s">
        <v>33</v>
      </c>
      <c r="D751" s="32" t="s">
        <v>33</v>
      </c>
      <c r="E751" s="32" t="s">
        <v>33</v>
      </c>
      <c r="F751" s="46" t="s">
        <v>33</v>
      </c>
      <c r="G751" s="31"/>
    </row>
    <row r="752" spans="1:9" ht="17.100000000000001" customHeight="1">
      <c r="A752" s="271" t="s">
        <v>45</v>
      </c>
      <c r="B752" s="34" t="s">
        <v>36</v>
      </c>
      <c r="C752" s="35" t="str">
        <f>IF(LEN!C43=0," ",LEN!C43)</f>
        <v xml:space="preserve"> </v>
      </c>
      <c r="D752" s="35" t="str">
        <f>IF(LEN!D43=0," ",LEN!D43)</f>
        <v xml:space="preserve"> </v>
      </c>
      <c r="E752" s="35" t="str">
        <f>IF(LEN!E43=0," ",LEN!E43)</f>
        <v xml:space="preserve"> </v>
      </c>
      <c r="F752" s="35" t="str">
        <f>IF(LEN!F43=0," ",LEN!F43)</f>
        <v xml:space="preserve"> </v>
      </c>
      <c r="G752" s="18"/>
    </row>
    <row r="753" spans="1:7" ht="17.100000000000001" customHeight="1">
      <c r="A753" s="271"/>
      <c r="B753" s="34" t="s">
        <v>10</v>
      </c>
      <c r="C753" s="35" t="str">
        <f>IF(ING!C43=0," ",ING!C43)</f>
        <v xml:space="preserve"> </v>
      </c>
      <c r="D753" s="35" t="str">
        <f>IF(ING!D43=0," ",ING!D43)</f>
        <v xml:space="preserve"> </v>
      </c>
      <c r="E753" s="35" t="str">
        <f>IF(ING!E43=0," ",ING!E43)</f>
        <v xml:space="preserve"> </v>
      </c>
      <c r="F753" s="35" t="str">
        <f>IF(ING!F43=0," ",ING!F43)</f>
        <v xml:space="preserve"> </v>
      </c>
      <c r="G753" s="18"/>
    </row>
    <row r="754" spans="1:7" ht="17.100000000000001" customHeight="1">
      <c r="A754" s="271"/>
      <c r="B754" s="34" t="s">
        <v>61</v>
      </c>
      <c r="C754" s="35" t="str">
        <f>IF('C.SOC'!C43=0," ",'C.SOC'!C43)</f>
        <v xml:space="preserve"> </v>
      </c>
      <c r="D754" s="35" t="str">
        <f>IF('C.SOC'!D43=0," ",'C.SOC'!D43)</f>
        <v xml:space="preserve"> </v>
      </c>
      <c r="E754" s="35" t="str">
        <f>IF('C.SOC'!E43=0," ",'C.SOC'!E43)</f>
        <v xml:space="preserve"> </v>
      </c>
      <c r="F754" s="35" t="str">
        <f>IF('C.SOC'!F43=0," ",'C.SOC'!F43)</f>
        <v xml:space="preserve"> </v>
      </c>
      <c r="G754" s="18"/>
    </row>
    <row r="755" spans="1:7" ht="17.100000000000001" customHeight="1">
      <c r="A755" s="271"/>
      <c r="B755" s="34" t="s">
        <v>43</v>
      </c>
      <c r="C755" s="35" t="str">
        <f>IF('E. FIS.'!C43=0," ",'E. FIS.'!C43)</f>
        <v xml:space="preserve"> </v>
      </c>
      <c r="D755" s="35" t="str">
        <f>IF('E. FIS.'!D43=0," ",'E. FIS.'!D43)</f>
        <v xml:space="preserve"> </v>
      </c>
      <c r="E755" s="35" t="str">
        <f>IF('E. FIS.'!E43=0," ",'E. FIS.'!E43)</f>
        <v xml:space="preserve"> </v>
      </c>
      <c r="F755" s="35" t="str">
        <f>IF('E. FIS.'!F43=0," ",'E. FIS.'!F43)</f>
        <v xml:space="preserve"> </v>
      </c>
      <c r="G755" s="18"/>
    </row>
    <row r="756" spans="1:7" ht="17.100000000000001" customHeight="1">
      <c r="A756" s="271"/>
      <c r="B756" s="34" t="s">
        <v>44</v>
      </c>
      <c r="C756" s="35" t="str">
        <f>IF(MUS.!C43=0," ",MUS.!C43)</f>
        <v xml:space="preserve"> </v>
      </c>
      <c r="D756" s="35" t="str">
        <f>IF(MUS.!D43=0," ",MUS.!D43)</f>
        <v xml:space="preserve"> </v>
      </c>
      <c r="E756" s="35" t="str">
        <f>IF(MUS.!E43=0," ",MUS.!E43)</f>
        <v xml:space="preserve"> </v>
      </c>
      <c r="F756" s="35" t="str">
        <f>IF(MUS.!F43=0," ",MUS.!F43)</f>
        <v xml:space="preserve"> </v>
      </c>
      <c r="G756" s="18"/>
    </row>
    <row r="757" spans="1:7" ht="17.100000000000001" customHeight="1">
      <c r="A757" s="271"/>
      <c r="B757" s="34" t="s">
        <v>11</v>
      </c>
      <c r="C757" s="35" t="str">
        <f>IF('A.PL. '!C43=0," ",'A.PL. '!C43)</f>
        <v xml:space="preserve"> </v>
      </c>
      <c r="D757" s="35" t="str">
        <f>IF('A.PL. '!D43=0," ",'A.PL. '!D43)</f>
        <v xml:space="preserve"> </v>
      </c>
      <c r="E757" s="35" t="str">
        <f>IF('A.PL. '!E43=0," ",'A.PL. '!E43)</f>
        <v xml:space="preserve"> </v>
      </c>
      <c r="F757" s="35" t="str">
        <f>IF('A.PL. '!F43=0," ",'A.PL. '!F43)</f>
        <v xml:space="preserve"> </v>
      </c>
      <c r="G757" s="18"/>
    </row>
    <row r="758" spans="1:7" ht="17.100000000000001" customHeight="1">
      <c r="A758" s="272" t="s">
        <v>64</v>
      </c>
      <c r="B758" s="34" t="s">
        <v>62</v>
      </c>
      <c r="C758" s="35" t="str">
        <f>IF(MAT!C43=0," ",MAT!C43)</f>
        <v xml:space="preserve"> </v>
      </c>
      <c r="D758" s="35" t="str">
        <f>IF(MAT!D43=0," ",MAT!D43)</f>
        <v xml:space="preserve"> </v>
      </c>
      <c r="E758" s="35" t="str">
        <f>IF(MAT!E43=0," ",MAT!E43)</f>
        <v xml:space="preserve"> </v>
      </c>
      <c r="F758" s="35" t="str">
        <f>IF(MAT!F43=0," ",MAT!F43)</f>
        <v xml:space="preserve"> </v>
      </c>
      <c r="G758" s="18"/>
    </row>
    <row r="759" spans="1:7" ht="17.100000000000001" customHeight="1">
      <c r="A759" s="272"/>
      <c r="B759" s="34" t="s">
        <v>101</v>
      </c>
      <c r="C759" s="35" t="str">
        <f>IF('T. TEC. GRAL'!C43=0," ",'T. TEC. GRAL'!C43)</f>
        <v xml:space="preserve"> </v>
      </c>
      <c r="D759" s="35" t="str">
        <f>IF('T. TEC. GRAL'!D43=0," ",'T. TEC. GRAL'!D43)</f>
        <v xml:space="preserve"> </v>
      </c>
      <c r="E759" s="35" t="str">
        <f>IF('T. TEC. GRAL'!E43=0," ",'T. TEC. GRAL'!E43)</f>
        <v xml:space="preserve"> </v>
      </c>
      <c r="F759" s="35" t="str">
        <f>IF('T. TEC. GRAL'!F43=0," ",'T. TEC. GRAL'!F43)</f>
        <v xml:space="preserve"> </v>
      </c>
      <c r="G759" s="18"/>
    </row>
    <row r="760" spans="1:7" ht="24" customHeight="1">
      <c r="A760" s="142" t="s">
        <v>79</v>
      </c>
      <c r="B760" s="34" t="s">
        <v>63</v>
      </c>
      <c r="C760" s="35" t="str">
        <f>IF('BIO-GEO'!C43=0," ",'BIO-GEO'!C43)</f>
        <v xml:space="preserve"> </v>
      </c>
      <c r="D760" s="35" t="str">
        <f>IF('BIO-GEO'!D43=0," ",'BIO-GEO'!D43)</f>
        <v xml:space="preserve"> </v>
      </c>
      <c r="E760" s="35" t="str">
        <f>IF('BIO-GEO'!E43=0," ",'BIO-GEO'!E43)</f>
        <v xml:space="preserve"> </v>
      </c>
      <c r="F760" s="35" t="str">
        <f>IF('BIO-GEO'!F43=0," ",'BIO-GEO'!F43)</f>
        <v xml:space="preserve"> </v>
      </c>
      <c r="G760" s="18"/>
    </row>
    <row r="761" spans="1:7" ht="17.100000000000001" customHeight="1">
      <c r="A761" s="271" t="s">
        <v>39</v>
      </c>
      <c r="B761" s="34" t="s">
        <v>54</v>
      </c>
      <c r="C761" s="35" t="str">
        <f>IF(PSI!C43=0," ",PSI!C43)</f>
        <v xml:space="preserve"> </v>
      </c>
      <c r="D761" s="35" t="str">
        <f>IF(PSI!D43=0," ",PSI!D43)</f>
        <v xml:space="preserve"> </v>
      </c>
      <c r="E761" s="35" t="str">
        <f>IF(PSI!E43=0," ",PSI!E43)</f>
        <v xml:space="preserve"> </v>
      </c>
      <c r="F761" s="35" t="str">
        <f>IF(PSI!F43=0," ",PSI!F43)</f>
        <v xml:space="preserve"> </v>
      </c>
      <c r="G761" s="18"/>
    </row>
    <row r="762" spans="1:7" ht="17.100000000000001" customHeight="1">
      <c r="A762" s="271"/>
      <c r="B762" s="34" t="s">
        <v>55</v>
      </c>
      <c r="C762" s="35" t="str">
        <f>IF('REL.'!C43=0," ",'REL.'!C43)</f>
        <v xml:space="preserve"> </v>
      </c>
      <c r="D762" s="35" t="str">
        <f>IF('REL.'!D43=0," ",'REL.'!D43)</f>
        <v xml:space="preserve"> </v>
      </c>
      <c r="E762" s="35" t="str">
        <f>IF('REL.'!E43=0," ",'REL.'!E43)</f>
        <v xml:space="preserve"> </v>
      </c>
      <c r="F762" s="35" t="str">
        <f>IF('REL.'!F43=0," ",'REL.'!F43)</f>
        <v xml:space="preserve"> </v>
      </c>
      <c r="G762" s="18"/>
    </row>
    <row r="763" spans="1:7" ht="17.25" customHeight="1">
      <c r="A763" s="143"/>
      <c r="B763" s="144"/>
      <c r="C763" s="147"/>
      <c r="D763" s="147"/>
      <c r="E763" s="147"/>
      <c r="F763" s="38"/>
      <c r="G763" s="18"/>
    </row>
    <row r="764" spans="1:7" ht="17.25" customHeight="1">
      <c r="A764" s="18"/>
      <c r="B764" s="18"/>
      <c r="C764" s="278" t="s">
        <v>42</v>
      </c>
      <c r="D764" s="278"/>
      <c r="E764" s="278"/>
      <c r="F764" s="18"/>
      <c r="G764" s="18"/>
    </row>
    <row r="765" spans="1:7" ht="15.95" customHeight="1">
      <c r="A765" s="270" t="str">
        <f t="shared" ref="A765" si="37">$A$3</f>
        <v>U. E. ABAROA B</v>
      </c>
      <c r="B765" s="270"/>
      <c r="C765" s="18"/>
      <c r="D765" s="18"/>
      <c r="E765" s="18"/>
      <c r="F765" s="182" t="str">
        <f>NOMINA!$D$2</f>
        <v>GESTION: 2026</v>
      </c>
      <c r="G765" s="18"/>
    </row>
    <row r="766" spans="1:7" s="14" customFormat="1" ht="21.95" customHeight="1">
      <c r="A766" s="273" t="str">
        <f>NOMINA!$B$2</f>
        <v>CURSO 2A</v>
      </c>
      <c r="B766" s="274"/>
      <c r="C766" s="280">
        <f>NOMINA!B45</f>
        <v>0</v>
      </c>
      <c r="D766" s="281"/>
      <c r="E766" s="281"/>
      <c r="F766" s="281"/>
      <c r="G766" s="49"/>
    </row>
    <row r="767" spans="1:7" ht="15.95" customHeight="1">
      <c r="A767" s="279">
        <f>NOMINA!A45</f>
        <v>40</v>
      </c>
      <c r="B767" s="52"/>
      <c r="C767" s="43" t="s">
        <v>5</v>
      </c>
      <c r="D767" s="271" t="s">
        <v>9</v>
      </c>
      <c r="E767" s="271"/>
      <c r="F767" s="179" t="s">
        <v>7</v>
      </c>
      <c r="G767" s="18"/>
    </row>
    <row r="768" spans="1:7" ht="15.95" customHeight="1">
      <c r="A768" s="279"/>
      <c r="B768" s="53"/>
      <c r="C768" s="178">
        <f>NOMINA!C45</f>
        <v>0</v>
      </c>
      <c r="D768" s="284">
        <f>NOMINA!D45</f>
        <v>0</v>
      </c>
      <c r="E768" s="284"/>
      <c r="F768" s="181">
        <f>NOMINA!F45</f>
        <v>0</v>
      </c>
      <c r="G768" s="18"/>
    </row>
    <row r="769" spans="1:9" s="16" customFormat="1" ht="15.95" customHeight="1">
      <c r="A769" s="275" t="s">
        <v>35</v>
      </c>
      <c r="B769" s="282" t="s">
        <v>37</v>
      </c>
      <c r="C769" s="30" t="s">
        <v>84</v>
      </c>
      <c r="D769" s="30" t="s">
        <v>82</v>
      </c>
      <c r="E769" s="30" t="s">
        <v>83</v>
      </c>
      <c r="F769" s="180" t="s">
        <v>38</v>
      </c>
      <c r="G769" s="31"/>
      <c r="I769" s="17"/>
    </row>
    <row r="770" spans="1:9" s="16" customFormat="1" ht="15.95" customHeight="1">
      <c r="A770" s="276"/>
      <c r="B770" s="283"/>
      <c r="C770" s="32" t="s">
        <v>33</v>
      </c>
      <c r="D770" s="32" t="s">
        <v>33</v>
      </c>
      <c r="E770" s="32" t="s">
        <v>33</v>
      </c>
      <c r="F770" s="46" t="s">
        <v>33</v>
      </c>
      <c r="G770" s="31"/>
    </row>
    <row r="771" spans="1:9" ht="17.100000000000001" customHeight="1">
      <c r="A771" s="271" t="s">
        <v>45</v>
      </c>
      <c r="B771" s="34" t="s">
        <v>36</v>
      </c>
      <c r="C771" s="35" t="str">
        <f>IF(LEN!C44=0," ",LEN!C44)</f>
        <v xml:space="preserve"> </v>
      </c>
      <c r="D771" s="35" t="str">
        <f>IF(LEN!D44=0," ",LEN!D44)</f>
        <v xml:space="preserve"> </v>
      </c>
      <c r="E771" s="35" t="str">
        <f>IF(LEN!E44=0," ",LEN!E44)</f>
        <v xml:space="preserve"> </v>
      </c>
      <c r="F771" s="35" t="str">
        <f>IF(LEN!F44=0," ",LEN!F44)</f>
        <v xml:space="preserve"> </v>
      </c>
      <c r="G771" s="18"/>
    </row>
    <row r="772" spans="1:9" ht="17.100000000000001" customHeight="1">
      <c r="A772" s="271"/>
      <c r="B772" s="34" t="s">
        <v>10</v>
      </c>
      <c r="C772" s="35" t="str">
        <f>IF(ING!G44=0," ",ING!G44)</f>
        <v xml:space="preserve"> </v>
      </c>
      <c r="D772" s="35" t="str">
        <f>IF(ING!D44=0," ",ING!D44)</f>
        <v xml:space="preserve"> </v>
      </c>
      <c r="E772" s="35" t="str">
        <f>IF(ING!E44=0," ",ING!E44)</f>
        <v xml:space="preserve"> </v>
      </c>
      <c r="F772" s="35" t="str">
        <f>IF(ING!F44=0," ",ING!F44)</f>
        <v xml:space="preserve"> </v>
      </c>
      <c r="G772" s="18"/>
    </row>
    <row r="773" spans="1:9" ht="17.100000000000001" customHeight="1">
      <c r="A773" s="271"/>
      <c r="B773" s="34" t="s">
        <v>61</v>
      </c>
      <c r="C773" s="35" t="str">
        <f>IF('C.SOC'!C44=0," ",'C.SOC'!C44)</f>
        <v xml:space="preserve"> </v>
      </c>
      <c r="D773" s="35" t="str">
        <f>IF('C.SOC'!D44=0," ",'C.SOC'!D44)</f>
        <v xml:space="preserve"> </v>
      </c>
      <c r="E773" s="35" t="str">
        <f>IF('C.SOC'!E44=0," ",'C.SOC'!E44)</f>
        <v xml:space="preserve"> </v>
      </c>
      <c r="F773" s="35" t="str">
        <f>IF('C.SOC'!F44=0," ",'C.SOC'!F44)</f>
        <v xml:space="preserve"> </v>
      </c>
      <c r="G773" s="18"/>
    </row>
    <row r="774" spans="1:9" ht="17.100000000000001" customHeight="1">
      <c r="A774" s="271"/>
      <c r="B774" s="34" t="s">
        <v>43</v>
      </c>
      <c r="C774" s="35" t="str">
        <f>IF('E. FIS.'!C44=0," ",'E. FIS.'!C44)</f>
        <v xml:space="preserve"> </v>
      </c>
      <c r="D774" s="35" t="str">
        <f>IF('E. FIS.'!D44=0," ",'E. FIS.'!D44)</f>
        <v xml:space="preserve"> </v>
      </c>
      <c r="E774" s="35" t="str">
        <f>IF('E. FIS.'!E44=0," ",'E. FIS.'!E44)</f>
        <v xml:space="preserve"> </v>
      </c>
      <c r="F774" s="35" t="str">
        <f>IF('E. FIS.'!F44=0," ",'E. FIS.'!F44)</f>
        <v xml:space="preserve"> </v>
      </c>
      <c r="G774" s="18"/>
    </row>
    <row r="775" spans="1:9" ht="17.100000000000001" customHeight="1">
      <c r="A775" s="271"/>
      <c r="B775" s="34" t="s">
        <v>44</v>
      </c>
      <c r="C775" s="35" t="str">
        <f>IF(MUS.!C44=0," ",MUS.!C44)</f>
        <v xml:space="preserve"> </v>
      </c>
      <c r="D775" s="35" t="str">
        <f>IF(MUS.!D44=0," ",MUS.!D44)</f>
        <v xml:space="preserve"> </v>
      </c>
      <c r="E775" s="35" t="str">
        <f>IF(MUS.!E44=0," ",MUS.!E44)</f>
        <v xml:space="preserve"> </v>
      </c>
      <c r="F775" s="35" t="str">
        <f>IF(MUS.!F44=0," ",MUS.!F44)</f>
        <v xml:space="preserve"> </v>
      </c>
      <c r="G775" s="18"/>
    </row>
    <row r="776" spans="1:9" ht="17.100000000000001" customHeight="1">
      <c r="A776" s="271"/>
      <c r="B776" s="34" t="s">
        <v>11</v>
      </c>
      <c r="C776" s="35" t="str">
        <f>IF('A.PL. '!C44=0," ",'A.PL. '!C44)</f>
        <v xml:space="preserve"> </v>
      </c>
      <c r="D776" s="35" t="str">
        <f>IF('A.PL. '!D44=0," ",'A.PL. '!D44)</f>
        <v xml:space="preserve"> </v>
      </c>
      <c r="E776" s="35" t="str">
        <f>IF('A.PL. '!E44=0," ",'A.PL. '!E44)</f>
        <v xml:space="preserve"> </v>
      </c>
      <c r="F776" s="35" t="str">
        <f>IF('A.PL. '!F44=0," ",'A.PL. '!F44)</f>
        <v xml:space="preserve"> </v>
      </c>
      <c r="G776" s="18"/>
    </row>
    <row r="777" spans="1:9" ht="17.100000000000001" customHeight="1">
      <c r="A777" s="272" t="s">
        <v>64</v>
      </c>
      <c r="B777" s="34" t="s">
        <v>62</v>
      </c>
      <c r="C777" s="35" t="str">
        <f>IF(MAT!C44=0," ",MAT!C44)</f>
        <v xml:space="preserve"> </v>
      </c>
      <c r="D777" s="35" t="str">
        <f>IF(MAT!D44=0," ",MAT!D44)</f>
        <v xml:space="preserve"> </v>
      </c>
      <c r="E777" s="35" t="str">
        <f>IF(MAT!E44=0," ",MAT!E44)</f>
        <v xml:space="preserve"> </v>
      </c>
      <c r="F777" s="35" t="str">
        <f>IF(MAT!F44=0," ",MAT!F44)</f>
        <v xml:space="preserve"> </v>
      </c>
      <c r="G777" s="18"/>
    </row>
    <row r="778" spans="1:9" ht="17.100000000000001" customHeight="1">
      <c r="A778" s="272"/>
      <c r="B778" s="34" t="s">
        <v>101</v>
      </c>
      <c r="C778" s="35" t="str">
        <f>IF('T. TEC. GRAL'!C44=0," ",'T. TEC. GRAL'!C44)</f>
        <v xml:space="preserve"> </v>
      </c>
      <c r="D778" s="35" t="str">
        <f>IF('T. TEC. GRAL'!D44=0," ",'T. TEC. GRAL'!D44)</f>
        <v xml:space="preserve"> </v>
      </c>
      <c r="E778" s="35" t="str">
        <f>IF('T. TEC. GRAL'!E44=0," ",'T. TEC. GRAL'!E44)</f>
        <v xml:space="preserve"> </v>
      </c>
      <c r="F778" s="35" t="str">
        <f>IF('T. TEC. GRAL'!F44=0," ",'T. TEC. GRAL'!F44)</f>
        <v xml:space="preserve"> </v>
      </c>
      <c r="G778" s="18"/>
    </row>
    <row r="779" spans="1:9" ht="24" customHeight="1">
      <c r="A779" s="142" t="s">
        <v>79</v>
      </c>
      <c r="B779" s="34" t="s">
        <v>63</v>
      </c>
      <c r="C779" s="35" t="str">
        <f>IF('BIO-GEO'!C44=0," ",'BIO-GEO'!C44)</f>
        <v xml:space="preserve"> </v>
      </c>
      <c r="D779" s="35" t="str">
        <f>IF('BIO-GEO'!D44=0," ",'BIO-GEO'!D44)</f>
        <v xml:space="preserve"> </v>
      </c>
      <c r="E779" s="35" t="str">
        <f>IF('BIO-GEO'!E44=0," ",'BIO-GEO'!E44)</f>
        <v xml:space="preserve"> </v>
      </c>
      <c r="F779" s="35" t="str">
        <f>IF('BIO-GEO'!F44=0," ",'BIO-GEO'!F44)</f>
        <v xml:space="preserve"> </v>
      </c>
      <c r="G779" s="18"/>
    </row>
    <row r="780" spans="1:9" ht="17.100000000000001" customHeight="1">
      <c r="A780" s="271" t="s">
        <v>39</v>
      </c>
      <c r="B780" s="34" t="s">
        <v>54</v>
      </c>
      <c r="C780" s="35" t="str">
        <f>IF(PSI!C44=0," ",PSI!C44)</f>
        <v xml:space="preserve"> </v>
      </c>
      <c r="D780" s="35" t="str">
        <f>IF(PSI!D44=0," ",PSI!D44)</f>
        <v xml:space="preserve"> </v>
      </c>
      <c r="E780" s="35" t="str">
        <f>IF(PSI!E44=0," ",PSI!E44)</f>
        <v xml:space="preserve"> </v>
      </c>
      <c r="F780" s="35" t="str">
        <f>IF(PSI!F44=0," ",PSI!F44)</f>
        <v xml:space="preserve"> </v>
      </c>
      <c r="G780" s="18"/>
    </row>
    <row r="781" spans="1:9" ht="17.100000000000001" customHeight="1">
      <c r="A781" s="271"/>
      <c r="B781" s="34" t="s">
        <v>55</v>
      </c>
      <c r="C781" s="35" t="str">
        <f>IF('REL.'!C44=0," ",'REL.'!C44)</f>
        <v xml:space="preserve"> </v>
      </c>
      <c r="D781" s="35" t="str">
        <f>IF('REL.'!D44=0," ",'REL.'!D44)</f>
        <v xml:space="preserve"> </v>
      </c>
      <c r="E781" s="35" t="str">
        <f>IF('REL.'!E44=0," ",'REL.'!E44)</f>
        <v xml:space="preserve"> </v>
      </c>
      <c r="F781" s="35" t="str">
        <f>IF('REL.'!F44=0," ",'REL.'!F44)</f>
        <v xml:space="preserve"> </v>
      </c>
      <c r="G781" s="18"/>
    </row>
    <row r="782" spans="1:9" ht="17.100000000000001" customHeight="1">
      <c r="A782" s="143"/>
      <c r="B782" s="144"/>
      <c r="C782" s="38"/>
      <c r="D782" s="38"/>
      <c r="E782" s="38"/>
      <c r="F782" s="38"/>
      <c r="G782" s="18"/>
    </row>
    <row r="783" spans="1:9" ht="17.100000000000001" customHeight="1">
      <c r="A783" s="143"/>
      <c r="B783" s="144"/>
      <c r="C783" s="38"/>
      <c r="D783" s="38"/>
      <c r="E783" s="38"/>
      <c r="F783" s="38"/>
      <c r="G783" s="18"/>
    </row>
    <row r="785" spans="1:9" ht="17.25" customHeight="1">
      <c r="A785" s="18"/>
      <c r="B785" s="18"/>
      <c r="C785" s="278" t="s">
        <v>42</v>
      </c>
      <c r="D785" s="278"/>
      <c r="E785" s="278"/>
      <c r="F785" s="18"/>
      <c r="G785" s="18"/>
    </row>
    <row r="786" spans="1:9" ht="15.95" customHeight="1">
      <c r="A786" s="270" t="str">
        <f t="shared" ref="A786" si="38">$A$3</f>
        <v>U. E. ABAROA B</v>
      </c>
      <c r="B786" s="270"/>
      <c r="C786" s="18"/>
      <c r="D786" s="18"/>
      <c r="E786" s="18"/>
      <c r="F786" s="182" t="str">
        <f>NOMINA!$D$2</f>
        <v>GESTION: 2026</v>
      </c>
      <c r="G786" s="18"/>
    </row>
    <row r="787" spans="1:9" s="14" customFormat="1" ht="21.95" customHeight="1">
      <c r="A787" s="273" t="str">
        <f>NOMINA!$B$2</f>
        <v>CURSO 2A</v>
      </c>
      <c r="B787" s="274"/>
      <c r="C787" s="280">
        <f>NOMINA!B46</f>
        <v>0</v>
      </c>
      <c r="D787" s="281"/>
      <c r="E787" s="281"/>
      <c r="F787" s="281"/>
      <c r="G787" s="49"/>
    </row>
    <row r="788" spans="1:9" ht="15.95" customHeight="1">
      <c r="A788" s="279">
        <f>NOMINA!A46</f>
        <v>41</v>
      </c>
      <c r="B788" s="52"/>
      <c r="C788" s="43" t="s">
        <v>5</v>
      </c>
      <c r="D788" s="271" t="s">
        <v>9</v>
      </c>
      <c r="E788" s="271"/>
      <c r="F788" s="179" t="s">
        <v>7</v>
      </c>
      <c r="G788" s="18"/>
    </row>
    <row r="789" spans="1:9" ht="15.95" customHeight="1">
      <c r="A789" s="279"/>
      <c r="B789" s="53"/>
      <c r="C789" s="178">
        <f>NOMINA!C46</f>
        <v>0</v>
      </c>
      <c r="D789" s="284">
        <f>NOMINA!D46</f>
        <v>0</v>
      </c>
      <c r="E789" s="284"/>
      <c r="F789" s="181">
        <f>NOMINA!F46</f>
        <v>0</v>
      </c>
      <c r="G789" s="18"/>
    </row>
    <row r="790" spans="1:9" s="16" customFormat="1" ht="15.95" customHeight="1">
      <c r="A790" s="275" t="s">
        <v>35</v>
      </c>
      <c r="B790" s="282" t="s">
        <v>37</v>
      </c>
      <c r="C790" s="30" t="s">
        <v>84</v>
      </c>
      <c r="D790" s="30" t="s">
        <v>82</v>
      </c>
      <c r="E790" s="30" t="s">
        <v>83</v>
      </c>
      <c r="F790" s="180" t="s">
        <v>38</v>
      </c>
      <c r="G790" s="31"/>
      <c r="I790" s="17"/>
    </row>
    <row r="791" spans="1:9" s="16" customFormat="1" ht="15.95" customHeight="1">
      <c r="A791" s="276"/>
      <c r="B791" s="283"/>
      <c r="C791" s="32" t="s">
        <v>33</v>
      </c>
      <c r="D791" s="32" t="s">
        <v>33</v>
      </c>
      <c r="E791" s="32" t="s">
        <v>33</v>
      </c>
      <c r="F791" s="46" t="s">
        <v>33</v>
      </c>
      <c r="G791" s="31"/>
    </row>
    <row r="792" spans="1:9" ht="17.100000000000001" customHeight="1">
      <c r="A792" s="271" t="s">
        <v>45</v>
      </c>
      <c r="B792" s="34" t="s">
        <v>36</v>
      </c>
      <c r="C792" s="35" t="str">
        <f>IF(LEN!C45=0," ",LEN!C45)</f>
        <v xml:space="preserve"> </v>
      </c>
      <c r="D792" s="35" t="str">
        <f>IF(LEN!D45=0," ",LEN!D45)</f>
        <v xml:space="preserve"> </v>
      </c>
      <c r="E792" s="35" t="str">
        <f>IF(LEN!E45=0," ",LEN!E45)</f>
        <v xml:space="preserve"> </v>
      </c>
      <c r="F792" s="35" t="str">
        <f>IF(LEN!F45=0," ",LEN!F45)</f>
        <v xml:space="preserve"> </v>
      </c>
      <c r="G792" s="18"/>
    </row>
    <row r="793" spans="1:9" ht="17.100000000000001" customHeight="1">
      <c r="A793" s="271"/>
      <c r="B793" s="34" t="s">
        <v>10</v>
      </c>
      <c r="C793" s="35" t="str">
        <f>IF(ING!C45=0," ",ING!C45)</f>
        <v xml:space="preserve"> </v>
      </c>
      <c r="D793" s="35" t="str">
        <f>IF(ING!D45=0," ",ING!D45)</f>
        <v xml:space="preserve"> </v>
      </c>
      <c r="E793" s="35" t="str">
        <f>IF(ING!E45=0," ",ING!E45)</f>
        <v xml:space="preserve"> </v>
      </c>
      <c r="F793" s="35" t="str">
        <f>IF(ING!F45=0," ",ING!F45)</f>
        <v xml:space="preserve"> </v>
      </c>
      <c r="G793" s="18"/>
    </row>
    <row r="794" spans="1:9" ht="17.100000000000001" customHeight="1">
      <c r="A794" s="271"/>
      <c r="B794" s="34" t="s">
        <v>61</v>
      </c>
      <c r="C794" s="35" t="str">
        <f>IF('C.SOC'!C45=0," ",'C.SOC'!C45)</f>
        <v xml:space="preserve"> </v>
      </c>
      <c r="D794" s="35" t="str">
        <f>IF('C.SOC'!D45=0," ",'C.SOC'!D45)</f>
        <v xml:space="preserve"> </v>
      </c>
      <c r="E794" s="35" t="str">
        <f>IF('C.SOC'!E45=0," ",'C.SOC'!E45)</f>
        <v xml:space="preserve"> </v>
      </c>
      <c r="F794" s="35" t="str">
        <f>IF('C.SOC'!F45=0," ",'C.SOC'!F45)</f>
        <v xml:space="preserve"> </v>
      </c>
      <c r="G794" s="18"/>
    </row>
    <row r="795" spans="1:9" ht="17.100000000000001" customHeight="1">
      <c r="A795" s="271"/>
      <c r="B795" s="34" t="s">
        <v>43</v>
      </c>
      <c r="C795" s="35" t="str">
        <f>IF('E. FIS.'!C45=0," ",'E. FIS.'!C45)</f>
        <v xml:space="preserve"> </v>
      </c>
      <c r="D795" s="35" t="str">
        <f>IF('E. FIS.'!D45=0," ",'E. FIS.'!D45)</f>
        <v xml:space="preserve"> </v>
      </c>
      <c r="E795" s="35" t="str">
        <f>IF('E. FIS.'!E45=0," ",'E. FIS.'!E45)</f>
        <v xml:space="preserve"> </v>
      </c>
      <c r="F795" s="35" t="str">
        <f>IF('E. FIS.'!F45=0," ",'E. FIS.'!F45)</f>
        <v xml:space="preserve"> </v>
      </c>
      <c r="G795" s="18"/>
    </row>
    <row r="796" spans="1:9" ht="17.100000000000001" customHeight="1">
      <c r="A796" s="271"/>
      <c r="B796" s="34" t="s">
        <v>44</v>
      </c>
      <c r="C796" s="35" t="str">
        <f>IF(MUS.!C45=0," ",MUS.!C45)</f>
        <v xml:space="preserve"> </v>
      </c>
      <c r="D796" s="35" t="str">
        <f>IF(MUS.!D45=0," ",MUS.!D45)</f>
        <v xml:space="preserve"> </v>
      </c>
      <c r="E796" s="35" t="str">
        <f>IF(MUS.!E45=0," ",MUS.!E45)</f>
        <v xml:space="preserve"> </v>
      </c>
      <c r="F796" s="35" t="str">
        <f>IF(MUS.!F45=0," ",MUS.!F45)</f>
        <v xml:space="preserve"> </v>
      </c>
      <c r="G796" s="18"/>
    </row>
    <row r="797" spans="1:9" ht="17.100000000000001" customHeight="1">
      <c r="A797" s="271"/>
      <c r="B797" s="34" t="s">
        <v>11</v>
      </c>
      <c r="C797" s="35" t="str">
        <f>IF('A.PL. '!C45=0," ",'A.PL. '!C45)</f>
        <v xml:space="preserve"> </v>
      </c>
      <c r="D797" s="35" t="str">
        <f>IF('A.PL. '!D45=0," ",'A.PL. '!D45)</f>
        <v xml:space="preserve"> </v>
      </c>
      <c r="E797" s="35" t="str">
        <f>IF('A.PL. '!E45=0," ",'A.PL. '!E45)</f>
        <v xml:space="preserve"> </v>
      </c>
      <c r="F797" s="35" t="str">
        <f>IF('A.PL. '!F45=0," ",'A.PL. '!F45)</f>
        <v xml:space="preserve"> </v>
      </c>
      <c r="G797" s="18"/>
    </row>
    <row r="798" spans="1:9" ht="17.100000000000001" customHeight="1">
      <c r="A798" s="272" t="s">
        <v>64</v>
      </c>
      <c r="B798" s="34" t="s">
        <v>62</v>
      </c>
      <c r="C798" s="35" t="str">
        <f>IF(MAT!C45=0," ",MAT!C45)</f>
        <v xml:space="preserve"> </v>
      </c>
      <c r="D798" s="35" t="str">
        <f>IF(MAT!D45=0," ",MAT!D45)</f>
        <v xml:space="preserve"> </v>
      </c>
      <c r="E798" s="35" t="str">
        <f>IF(MAT!E45=0," ",MAT!E45)</f>
        <v xml:space="preserve"> </v>
      </c>
      <c r="F798" s="35" t="str">
        <f>IF(MAT!F45=0," ",MAT!F45)</f>
        <v xml:space="preserve"> </v>
      </c>
      <c r="G798" s="18"/>
    </row>
    <row r="799" spans="1:9" ht="17.100000000000001" customHeight="1">
      <c r="A799" s="272"/>
      <c r="B799" s="34" t="s">
        <v>101</v>
      </c>
      <c r="C799" s="35" t="str">
        <f>IF('T. TEC. GRAL'!C45=0," ",'T. TEC. GRAL'!C45)</f>
        <v xml:space="preserve"> </v>
      </c>
      <c r="D799" s="35" t="str">
        <f>IF('T. TEC. GRAL'!D45=0," ",'T. TEC. GRAL'!D45)</f>
        <v xml:space="preserve"> </v>
      </c>
      <c r="E799" s="35" t="str">
        <f>IF('T. TEC. GRAL'!E45=0," ",'T. TEC. GRAL'!E45)</f>
        <v xml:space="preserve"> </v>
      </c>
      <c r="F799" s="35" t="str">
        <f>IF('T. TEC. GRAL'!F45=0," ",'T. TEC. GRAL'!F45)</f>
        <v xml:space="preserve"> </v>
      </c>
      <c r="G799" s="18"/>
    </row>
    <row r="800" spans="1:9" ht="24" customHeight="1">
      <c r="A800" s="142" t="s">
        <v>79</v>
      </c>
      <c r="B800" s="34" t="s">
        <v>63</v>
      </c>
      <c r="C800" s="35" t="str">
        <f>IF('BIO-GEO'!C45=0," ",'BIO-GEO'!C45)</f>
        <v xml:space="preserve"> </v>
      </c>
      <c r="D800" s="35" t="str">
        <f>IF('BIO-GEO'!D45=0," ",'BIO-GEO'!D45)</f>
        <v xml:space="preserve"> </v>
      </c>
      <c r="E800" s="35" t="str">
        <f>IF('BIO-GEO'!E45=0," ",'BIO-GEO'!E45)</f>
        <v xml:space="preserve"> </v>
      </c>
      <c r="F800" s="35" t="str">
        <f>IF('BIO-GEO'!F45=0," ",'BIO-GEO'!F45)</f>
        <v xml:space="preserve"> </v>
      </c>
      <c r="G800" s="18"/>
    </row>
    <row r="801" spans="1:7" ht="17.100000000000001" customHeight="1">
      <c r="A801" s="271" t="s">
        <v>39</v>
      </c>
      <c r="B801" s="34" t="s">
        <v>54</v>
      </c>
      <c r="C801" s="35" t="str">
        <f>IF(PSI!C45=0," ",PSI!C45)</f>
        <v xml:space="preserve"> </v>
      </c>
      <c r="D801" s="35" t="str">
        <f>IF(PSI!D45=0," ",PSI!D45)</f>
        <v xml:space="preserve"> </v>
      </c>
      <c r="E801" s="35" t="str">
        <f>IF(PSI!E45=0," ",PSI!E45)</f>
        <v xml:space="preserve"> </v>
      </c>
      <c r="F801" s="35" t="str">
        <f>IF(PSI!F45=0," ",PSI!F45)</f>
        <v xml:space="preserve"> </v>
      </c>
      <c r="G801" s="18"/>
    </row>
    <row r="802" spans="1:7" ht="17.100000000000001" customHeight="1">
      <c r="A802" s="271"/>
      <c r="B802" s="34" t="s">
        <v>55</v>
      </c>
      <c r="C802" s="35" t="str">
        <f>IF('REL.'!C45=0," ",'REL.'!C45)</f>
        <v xml:space="preserve"> </v>
      </c>
      <c r="D802" s="35" t="str">
        <f>IF('REL.'!D45=0," ",'REL.'!D45)</f>
        <v xml:space="preserve"> </v>
      </c>
      <c r="E802" s="35" t="str">
        <f>IF('REL.'!E45=0," ",'REL.'!E45)</f>
        <v xml:space="preserve"> </v>
      </c>
      <c r="F802" s="35" t="str">
        <f>IF('REL.'!F45=0," ",'REL.'!F45)</f>
        <v xml:space="preserve"> </v>
      </c>
      <c r="G802" s="18"/>
    </row>
    <row r="803" spans="1:7" ht="17.25" customHeight="1">
      <c r="A803" s="143"/>
      <c r="B803" s="144"/>
      <c r="C803" s="147"/>
      <c r="D803" s="147"/>
      <c r="E803" s="147"/>
      <c r="F803" s="38"/>
      <c r="G803" s="18"/>
    </row>
  </sheetData>
  <sheetProtection formatCells="0"/>
  <protectedRanges>
    <protectedRange sqref="A747 A4 A25 A44 A65 A84 A105 A124 A186 A205 A226 A245 A266 A285 A306 A325 A346 A365 A386 A405 A426 A445 A466 A485 A506 A525 A545 A565 A586 A605 A626 A645 A666 A685 A706 A726 A766 A787" name="Rango1"/>
  </protectedRanges>
  <mergeCells count="481">
    <mergeCell ref="A619:A620"/>
    <mergeCell ref="A610:A615"/>
    <mergeCell ref="A591:A596"/>
    <mergeCell ref="A579:A580"/>
    <mergeCell ref="A185:B185"/>
    <mergeCell ref="A465:B465"/>
    <mergeCell ref="A484:B484"/>
    <mergeCell ref="A505:B505"/>
    <mergeCell ref="A524:B524"/>
    <mergeCell ref="A544:B544"/>
    <mergeCell ref="A564:B564"/>
    <mergeCell ref="A585:B585"/>
    <mergeCell ref="A604:B604"/>
    <mergeCell ref="A587:A588"/>
    <mergeCell ref="A368:A369"/>
    <mergeCell ref="B368:B369"/>
    <mergeCell ref="A404:B404"/>
    <mergeCell ref="A108:A109"/>
    <mergeCell ref="A146:A147"/>
    <mergeCell ref="A70:A75"/>
    <mergeCell ref="A79:A80"/>
    <mergeCell ref="A87:A88"/>
    <mergeCell ref="B87:B88"/>
    <mergeCell ref="A179:A180"/>
    <mergeCell ref="A98:A99"/>
    <mergeCell ref="A446:A447"/>
    <mergeCell ref="A145:B145"/>
    <mergeCell ref="A150:A155"/>
    <mergeCell ref="A166:A167"/>
    <mergeCell ref="A349:A350"/>
    <mergeCell ref="B349:B350"/>
    <mergeCell ref="A347:A348"/>
    <mergeCell ref="A365:B365"/>
    <mergeCell ref="A124:B124"/>
    <mergeCell ref="B127:B128"/>
    <mergeCell ref="A416:A417"/>
    <mergeCell ref="B408:B409"/>
    <mergeCell ref="A386:B386"/>
    <mergeCell ref="B389:B390"/>
    <mergeCell ref="A290:A295"/>
    <mergeCell ref="A408:A409"/>
    <mergeCell ref="A66:A67"/>
    <mergeCell ref="A106:A107"/>
    <mergeCell ref="B108:B109"/>
    <mergeCell ref="A148:A149"/>
    <mergeCell ref="B148:B149"/>
    <mergeCell ref="A138:A139"/>
    <mergeCell ref="A499:A500"/>
    <mergeCell ref="A506:B506"/>
    <mergeCell ref="A801:A802"/>
    <mergeCell ref="A798:A799"/>
    <mergeCell ref="A665:B665"/>
    <mergeCell ref="A684:B684"/>
    <mergeCell ref="A705:B705"/>
    <mergeCell ref="A667:A668"/>
    <mergeCell ref="A669:A670"/>
    <mergeCell ref="B688:B689"/>
    <mergeCell ref="A429:A430"/>
    <mergeCell ref="B429:B430"/>
    <mergeCell ref="A769:A770"/>
    <mergeCell ref="B769:B770"/>
    <mergeCell ref="A771:A776"/>
    <mergeCell ref="A780:A781"/>
    <mergeCell ref="A225:B225"/>
    <mergeCell ref="A89:A94"/>
    <mergeCell ref="C785:E785"/>
    <mergeCell ref="A787:B787"/>
    <mergeCell ref="C787:F787"/>
    <mergeCell ref="A788:A789"/>
    <mergeCell ref="D788:E788"/>
    <mergeCell ref="D789:E789"/>
    <mergeCell ref="A790:A791"/>
    <mergeCell ref="B790:B791"/>
    <mergeCell ref="A792:A797"/>
    <mergeCell ref="A786:B786"/>
    <mergeCell ref="D367:E367"/>
    <mergeCell ref="D366:E366"/>
    <mergeCell ref="A370:A375"/>
    <mergeCell ref="D387:E387"/>
    <mergeCell ref="A644:B644"/>
    <mergeCell ref="A725:B725"/>
    <mergeCell ref="A459:A460"/>
    <mergeCell ref="A520:A521"/>
    <mergeCell ref="C525:F525"/>
    <mergeCell ref="D467:E467"/>
    <mergeCell ref="C485:F485"/>
    <mergeCell ref="A509:A510"/>
    <mergeCell ref="A566:A567"/>
    <mergeCell ref="A570:A575"/>
    <mergeCell ref="A466:B466"/>
    <mergeCell ref="C466:F466"/>
    <mergeCell ref="D468:E468"/>
    <mergeCell ref="B469:B470"/>
    <mergeCell ref="D486:E486"/>
    <mergeCell ref="A469:A470"/>
    <mergeCell ref="A625:B625"/>
    <mergeCell ref="A606:A607"/>
    <mergeCell ref="A565:B565"/>
    <mergeCell ref="A616:A617"/>
    <mergeCell ref="C766:F766"/>
    <mergeCell ref="A777:A778"/>
    <mergeCell ref="D727:E727"/>
    <mergeCell ref="D728:E728"/>
    <mergeCell ref="A729:A730"/>
    <mergeCell ref="B729:B730"/>
    <mergeCell ref="A731:A736"/>
    <mergeCell ref="D748:E748"/>
    <mergeCell ref="A740:A741"/>
    <mergeCell ref="A746:B746"/>
    <mergeCell ref="A765:B765"/>
    <mergeCell ref="A767:A768"/>
    <mergeCell ref="A750:A751"/>
    <mergeCell ref="A748:A749"/>
    <mergeCell ref="D767:E767"/>
    <mergeCell ref="D768:E768"/>
    <mergeCell ref="C764:E764"/>
    <mergeCell ref="A766:B766"/>
    <mergeCell ref="D5:E5"/>
    <mergeCell ref="D27:E27"/>
    <mergeCell ref="A25:B25"/>
    <mergeCell ref="A44:B44"/>
    <mergeCell ref="A45:A46"/>
    <mergeCell ref="A28:A29"/>
    <mergeCell ref="B28:B29"/>
    <mergeCell ref="B45:B46"/>
    <mergeCell ref="A26:A27"/>
    <mergeCell ref="A5:A6"/>
    <mergeCell ref="D26:E26"/>
    <mergeCell ref="D6:E6"/>
    <mergeCell ref="B7:B8"/>
    <mergeCell ref="B5:B6"/>
    <mergeCell ref="A7:A8"/>
    <mergeCell ref="B26:B27"/>
    <mergeCell ref="A9:A14"/>
    <mergeCell ref="A24:B24"/>
    <mergeCell ref="A43:B43"/>
    <mergeCell ref="D46:E46"/>
    <mergeCell ref="A39:A40"/>
    <mergeCell ref="A30:A35"/>
    <mergeCell ref="D126:E126"/>
    <mergeCell ref="A125:A126"/>
    <mergeCell ref="A159:A160"/>
    <mergeCell ref="A271:A276"/>
    <mergeCell ref="A229:A230"/>
    <mergeCell ref="A186:B186"/>
    <mergeCell ref="A250:A255"/>
    <mergeCell ref="A227:A228"/>
    <mergeCell ref="B229:B230"/>
    <mergeCell ref="A231:A236"/>
    <mergeCell ref="A246:A247"/>
    <mergeCell ref="A240:A241"/>
    <mergeCell ref="A244:B244"/>
    <mergeCell ref="A191:A196"/>
    <mergeCell ref="A259:A260"/>
    <mergeCell ref="B168:B169"/>
    <mergeCell ref="B269:B270"/>
    <mergeCell ref="A269:A270"/>
    <mergeCell ref="A265:B265"/>
    <mergeCell ref="A266:B266"/>
    <mergeCell ref="A204:B204"/>
    <mergeCell ref="D125:E125"/>
    <mergeCell ref="D167:E167"/>
    <mergeCell ref="A127:A128"/>
    <mergeCell ref="C124:F124"/>
    <mergeCell ref="D67:E67"/>
    <mergeCell ref="B68:B69"/>
    <mergeCell ref="A49:A54"/>
    <mergeCell ref="A445:B445"/>
    <mergeCell ref="C443:E443"/>
    <mergeCell ref="A448:A449"/>
    <mergeCell ref="A410:A415"/>
    <mergeCell ref="A419:A420"/>
    <mergeCell ref="A426:B426"/>
    <mergeCell ref="A400:A401"/>
    <mergeCell ref="D388:E388"/>
    <mergeCell ref="B448:B449"/>
    <mergeCell ref="C424:E424"/>
    <mergeCell ref="D406:E406"/>
    <mergeCell ref="D427:E427"/>
    <mergeCell ref="D428:E428"/>
    <mergeCell ref="A405:B405"/>
    <mergeCell ref="A406:A407"/>
    <mergeCell ref="C403:E403"/>
    <mergeCell ref="A267:A268"/>
    <mergeCell ref="B288:B289"/>
    <mergeCell ref="D446:E446"/>
    <mergeCell ref="A440:A441"/>
    <mergeCell ref="A671:A676"/>
    <mergeCell ref="C664:E664"/>
    <mergeCell ref="A666:B666"/>
    <mergeCell ref="D667:E667"/>
    <mergeCell ref="D687:E687"/>
    <mergeCell ref="C706:F706"/>
    <mergeCell ref="C643:E643"/>
    <mergeCell ref="A629:A630"/>
    <mergeCell ref="B629:B630"/>
    <mergeCell ref="A637:A638"/>
    <mergeCell ref="A631:A636"/>
    <mergeCell ref="A640:A641"/>
    <mergeCell ref="C666:F666"/>
    <mergeCell ref="A659:A660"/>
    <mergeCell ref="D647:E647"/>
    <mergeCell ref="D646:E646"/>
    <mergeCell ref="A646:A647"/>
    <mergeCell ref="B648:B649"/>
    <mergeCell ref="C645:F645"/>
    <mergeCell ref="D668:E668"/>
    <mergeCell ref="A656:A657"/>
    <mergeCell ref="A707:A708"/>
    <mergeCell ref="D707:E707"/>
    <mergeCell ref="D708:E708"/>
    <mergeCell ref="A709:A710"/>
    <mergeCell ref="B709:B710"/>
    <mergeCell ref="A711:A716"/>
    <mergeCell ref="A737:A738"/>
    <mergeCell ref="A677:A678"/>
    <mergeCell ref="A696:A697"/>
    <mergeCell ref="A717:A718"/>
    <mergeCell ref="C704:E704"/>
    <mergeCell ref="A706:B706"/>
    <mergeCell ref="A686:A687"/>
    <mergeCell ref="A727:A728"/>
    <mergeCell ref="A699:A700"/>
    <mergeCell ref="A690:A695"/>
    <mergeCell ref="C724:E724"/>
    <mergeCell ref="A726:B726"/>
    <mergeCell ref="C726:F726"/>
    <mergeCell ref="D66:E66"/>
    <mergeCell ref="A65:B65"/>
    <mergeCell ref="C65:F65"/>
    <mergeCell ref="B750:B751"/>
    <mergeCell ref="C624:E624"/>
    <mergeCell ref="D627:E627"/>
    <mergeCell ref="D749:E749"/>
    <mergeCell ref="A747:B747"/>
    <mergeCell ref="C745:E745"/>
    <mergeCell ref="A688:A689"/>
    <mergeCell ref="A648:A649"/>
    <mergeCell ref="A650:A655"/>
    <mergeCell ref="A680:A681"/>
    <mergeCell ref="D686:E686"/>
    <mergeCell ref="B669:B670"/>
    <mergeCell ref="C747:F747"/>
    <mergeCell ref="A685:B685"/>
    <mergeCell ref="C685:F685"/>
    <mergeCell ref="C683:E683"/>
    <mergeCell ref="C626:F626"/>
    <mergeCell ref="D628:E628"/>
    <mergeCell ref="C163:E163"/>
    <mergeCell ref="C165:F165"/>
    <mergeCell ref="D166:E166"/>
    <mergeCell ref="C2:E2"/>
    <mergeCell ref="C23:E23"/>
    <mergeCell ref="C42:E42"/>
    <mergeCell ref="C63:E63"/>
    <mergeCell ref="C82:E82"/>
    <mergeCell ref="C103:E103"/>
    <mergeCell ref="C122:E122"/>
    <mergeCell ref="C25:F25"/>
    <mergeCell ref="C44:F44"/>
    <mergeCell ref="C4:F4"/>
    <mergeCell ref="D107:E107"/>
    <mergeCell ref="D45:E45"/>
    <mergeCell ref="C84:F84"/>
    <mergeCell ref="A3:C3"/>
    <mergeCell ref="A4:B4"/>
    <mergeCell ref="A47:A48"/>
    <mergeCell ref="B47:B48"/>
    <mergeCell ref="D85:E85"/>
    <mergeCell ref="D86:E86"/>
    <mergeCell ref="A85:A86"/>
    <mergeCell ref="A84:B84"/>
    <mergeCell ref="C105:F105"/>
    <mergeCell ref="A105:B105"/>
    <mergeCell ref="D106:E106"/>
    <mergeCell ref="D407:E407"/>
    <mergeCell ref="A285:B285"/>
    <mergeCell ref="A286:A287"/>
    <mergeCell ref="D267:E267"/>
    <mergeCell ref="C405:F405"/>
    <mergeCell ref="A311:A316"/>
    <mergeCell ref="A320:A321"/>
    <mergeCell ref="A305:B305"/>
    <mergeCell ref="C264:E264"/>
    <mergeCell ref="A339:A340"/>
    <mergeCell ref="D308:E308"/>
    <mergeCell ref="A324:B324"/>
    <mergeCell ref="A345:B345"/>
    <mergeCell ref="A364:B364"/>
    <mergeCell ref="A385:B385"/>
    <mergeCell ref="A284:B284"/>
    <mergeCell ref="A288:A289"/>
    <mergeCell ref="A309:A310"/>
    <mergeCell ref="A307:A308"/>
    <mergeCell ref="B328:B329"/>
    <mergeCell ref="B309:B310"/>
    <mergeCell ref="A346:B346"/>
    <mergeCell ref="C346:F346"/>
    <mergeCell ref="A360:A361"/>
    <mergeCell ref="C184:E184"/>
    <mergeCell ref="C186:F186"/>
    <mergeCell ref="C205:F205"/>
    <mergeCell ref="C203:E203"/>
    <mergeCell ref="D187:E187"/>
    <mergeCell ref="A187:A188"/>
    <mergeCell ref="A189:A190"/>
    <mergeCell ref="C365:F365"/>
    <mergeCell ref="A330:A335"/>
    <mergeCell ref="A328:A329"/>
    <mergeCell ref="C344:E344"/>
    <mergeCell ref="C363:E363"/>
    <mergeCell ref="B208:B209"/>
    <mergeCell ref="A219:A220"/>
    <mergeCell ref="A200:A201"/>
    <mergeCell ref="C266:F266"/>
    <mergeCell ref="C304:E304"/>
    <mergeCell ref="C283:E283"/>
    <mergeCell ref="D268:E268"/>
    <mergeCell ref="C285:F285"/>
    <mergeCell ref="D287:E287"/>
    <mergeCell ref="D286:E286"/>
    <mergeCell ref="A299:A300"/>
    <mergeCell ref="A280:A281"/>
    <mergeCell ref="C143:E143"/>
    <mergeCell ref="C145:F145"/>
    <mergeCell ref="D147:E147"/>
    <mergeCell ref="A197:A198"/>
    <mergeCell ref="A216:A217"/>
    <mergeCell ref="A245:B245"/>
    <mergeCell ref="A248:A249"/>
    <mergeCell ref="B248:B249"/>
    <mergeCell ref="D228:E228"/>
    <mergeCell ref="D207:E207"/>
    <mergeCell ref="C226:F226"/>
    <mergeCell ref="D227:E227"/>
    <mergeCell ref="D246:E246"/>
    <mergeCell ref="C224:E224"/>
    <mergeCell ref="A226:B226"/>
    <mergeCell ref="A237:A238"/>
    <mergeCell ref="D146:E146"/>
    <mergeCell ref="A205:B205"/>
    <mergeCell ref="B189:B190"/>
    <mergeCell ref="D206:E206"/>
    <mergeCell ref="D188:E188"/>
    <mergeCell ref="A208:A209"/>
    <mergeCell ref="A206:A207"/>
    <mergeCell ref="A210:A215"/>
    <mergeCell ref="C243:E243"/>
    <mergeCell ref="D247:E247"/>
    <mergeCell ref="C245:F245"/>
    <mergeCell ref="A325:B325"/>
    <mergeCell ref="D326:E326"/>
    <mergeCell ref="D606:E606"/>
    <mergeCell ref="D607:E607"/>
    <mergeCell ref="D567:E567"/>
    <mergeCell ref="C565:F565"/>
    <mergeCell ref="A568:A569"/>
    <mergeCell ref="A600:A601"/>
    <mergeCell ref="A605:B605"/>
    <mergeCell ref="C605:F605"/>
    <mergeCell ref="C603:E603"/>
    <mergeCell ref="D588:E588"/>
    <mergeCell ref="A589:A590"/>
    <mergeCell ref="C584:E584"/>
    <mergeCell ref="D566:E566"/>
    <mergeCell ref="C504:E504"/>
    <mergeCell ref="D526:E526"/>
    <mergeCell ref="A490:A495"/>
    <mergeCell ref="A559:A560"/>
    <mergeCell ref="A467:A468"/>
    <mergeCell ref="C586:F586"/>
    <mergeCell ref="A626:B626"/>
    <mergeCell ref="A645:B645"/>
    <mergeCell ref="B608:B609"/>
    <mergeCell ref="D327:E327"/>
    <mergeCell ref="A326:A327"/>
    <mergeCell ref="A387:A388"/>
    <mergeCell ref="A391:A396"/>
    <mergeCell ref="A389:A390"/>
    <mergeCell ref="C386:F386"/>
    <mergeCell ref="C384:E384"/>
    <mergeCell ref="A511:A516"/>
    <mergeCell ref="C545:F545"/>
    <mergeCell ref="A427:A428"/>
    <mergeCell ref="D508:E508"/>
    <mergeCell ref="A431:A436"/>
    <mergeCell ref="A351:A356"/>
    <mergeCell ref="D347:E347"/>
    <mergeCell ref="D348:E348"/>
    <mergeCell ref="D507:E507"/>
    <mergeCell ref="A488:A489"/>
    <mergeCell ref="A480:A481"/>
    <mergeCell ref="D487:E487"/>
    <mergeCell ref="A486:A487"/>
    <mergeCell ref="A471:A476"/>
    <mergeCell ref="D587:E587"/>
    <mergeCell ref="B568:B569"/>
    <mergeCell ref="B589:B590"/>
    <mergeCell ref="A586:B586"/>
    <mergeCell ref="A546:A547"/>
    <mergeCell ref="B509:B510"/>
    <mergeCell ref="B488:B489"/>
    <mergeCell ref="D546:E546"/>
    <mergeCell ref="C543:E543"/>
    <mergeCell ref="A545:B545"/>
    <mergeCell ref="B548:B549"/>
    <mergeCell ref="D547:E547"/>
    <mergeCell ref="A548:A549"/>
    <mergeCell ref="C506:F506"/>
    <mergeCell ref="C483:E483"/>
    <mergeCell ref="C563:E563"/>
    <mergeCell ref="A608:A609"/>
    <mergeCell ref="A627:A628"/>
    <mergeCell ref="C306:F306"/>
    <mergeCell ref="C523:E523"/>
    <mergeCell ref="A527:A528"/>
    <mergeCell ref="A525:B525"/>
    <mergeCell ref="A529:A534"/>
    <mergeCell ref="A507:A508"/>
    <mergeCell ref="B527:B528"/>
    <mergeCell ref="C464:E464"/>
    <mergeCell ref="C445:F445"/>
    <mergeCell ref="A450:A455"/>
    <mergeCell ref="A425:B425"/>
    <mergeCell ref="A485:B485"/>
    <mergeCell ref="D447:E447"/>
    <mergeCell ref="A376:A377"/>
    <mergeCell ref="A379:A380"/>
    <mergeCell ref="A397:A398"/>
    <mergeCell ref="C323:E323"/>
    <mergeCell ref="C325:F325"/>
    <mergeCell ref="C426:F426"/>
    <mergeCell ref="A366:A367"/>
    <mergeCell ref="D307:E307"/>
    <mergeCell ref="A306:B306"/>
    <mergeCell ref="A296:A297"/>
    <mergeCell ref="A317:A318"/>
    <mergeCell ref="A336:A337"/>
    <mergeCell ref="A357:A358"/>
    <mergeCell ref="A15:A16"/>
    <mergeCell ref="A36:A37"/>
    <mergeCell ref="A55:A56"/>
    <mergeCell ref="A76:A77"/>
    <mergeCell ref="A95:A96"/>
    <mergeCell ref="A116:A117"/>
    <mergeCell ref="A135:A136"/>
    <mergeCell ref="A156:A157"/>
    <mergeCell ref="A176:A177"/>
    <mergeCell ref="A168:A169"/>
    <mergeCell ref="A68:A69"/>
    <mergeCell ref="A110:A115"/>
    <mergeCell ref="A119:A120"/>
    <mergeCell ref="A129:A134"/>
    <mergeCell ref="A170:A175"/>
    <mergeCell ref="A165:B165"/>
    <mergeCell ref="A58:A59"/>
    <mergeCell ref="A18:A19"/>
    <mergeCell ref="A64:B64"/>
    <mergeCell ref="A83:B83"/>
    <mergeCell ref="A104:B104"/>
    <mergeCell ref="A123:B123"/>
    <mergeCell ref="A144:B144"/>
    <mergeCell ref="A164:B164"/>
    <mergeCell ref="A752:A757"/>
    <mergeCell ref="A761:A762"/>
    <mergeCell ref="A720:A721"/>
    <mergeCell ref="A437:A438"/>
    <mergeCell ref="A456:A457"/>
    <mergeCell ref="A477:A478"/>
    <mergeCell ref="A496:A497"/>
    <mergeCell ref="A517:A518"/>
    <mergeCell ref="A535:A536"/>
    <mergeCell ref="A556:A557"/>
    <mergeCell ref="A576:A577"/>
    <mergeCell ref="A597:A598"/>
    <mergeCell ref="A758:A759"/>
    <mergeCell ref="A538:A539"/>
    <mergeCell ref="A550:A555"/>
    <mergeCell ref="A444:B444"/>
    <mergeCell ref="A256:A257"/>
    <mergeCell ref="A277:A278"/>
  </mergeCells>
  <conditionalFormatting sqref="C9:F21 C30:F41 C49:F61 C70:F81 C89:F101 C110:F121 E123 C129:F142 C150:F162 C170:F183 C191:F202 C210:F223 C231:F242 C250:F263 C271:F282 C290:F303 C311:F322 C330:F343 C351:F362 C370:F383 C391:F402 C410:F423 C431:F442 C450:F463 C471:F482 C490:F503 C511:F522 C529:F542 C550:F562 C570:F583 C591:F602 C610:F623 C631:F642 C650:F663 C671:F682 C690:F703 C731:F744">
    <cfRule type="cellIs" dxfId="21" priority="38" operator="lessThan">
      <formula>51</formula>
    </cfRule>
  </conditionalFormatting>
  <conditionalFormatting sqref="C711:F723">
    <cfRule type="cellIs" dxfId="20" priority="13" operator="lessThan">
      <formula>51</formula>
    </cfRule>
  </conditionalFormatting>
  <conditionalFormatting sqref="C752:F763">
    <cfRule type="cellIs" dxfId="19" priority="3" operator="lessThan">
      <formula>51</formula>
    </cfRule>
  </conditionalFormatting>
  <conditionalFormatting sqref="C771:F783">
    <cfRule type="cellIs" dxfId="18" priority="2" operator="lessThan">
      <formula>51</formula>
    </cfRule>
  </conditionalFormatting>
  <conditionalFormatting sqref="C792:F803">
    <cfRule type="cellIs" dxfId="17" priority="1" operator="lessThan">
      <formula>51</formula>
    </cfRule>
  </conditionalFormatting>
  <conditionalFormatting sqref="D9:D21 F9:F21 F30:F41 F49:F61 F70:F81 F89:F101 F110:F121 F129:F142 F150:F162 F170:F183 F191:F202 F210:F223 F231:F242 F250:F263 F271:F282 F290:F303 F311:F322 F330:F343 F351:F362 F370:F377 F380:F383 F391:F400 F410:F423 F431:F442 F450:F463 F471:F482 F490:F503 F511:F522 F529:F542 F550:F562 F570:F583 F591:F602 F610:F623 F631:F642 F650:F663 F671:F682 F690:F703 F763">
    <cfRule type="cellIs" dxfId="16" priority="54" operator="lessThan">
      <formula>36</formula>
    </cfRule>
  </conditionalFormatting>
  <conditionalFormatting sqref="D30:D41 D49:D61 D70:D81 D89:D101 D110:D121 D129:D142 D150:D162 D170:D183 D191:D202 D210:D223 D231:D242 D250:D263 D271:D282 D290:D303 D311:D322 D330:D343 D351:D362 D370:D377 D380:D383 D391:D400 D410:D423 D431:D442 D450:D463 D471:D482 D490:D503 D511:D522 D529:D542 D550:D562 D570:D583 D591:D602 D610:D623 D631:D642 D650:D663 D671:D682 D690:D703 D763">
    <cfRule type="cellIs" dxfId="15" priority="58" operator="lessThan">
      <formula>36</formula>
    </cfRule>
  </conditionalFormatting>
  <conditionalFormatting sqref="D711:D723">
    <cfRule type="cellIs" dxfId="14" priority="15" operator="lessThan">
      <formula>36</formula>
    </cfRule>
  </conditionalFormatting>
  <conditionalFormatting sqref="D731:D744">
    <cfRule type="cellIs" dxfId="13" priority="12" operator="lessThan">
      <formula>36</formula>
    </cfRule>
  </conditionalFormatting>
  <conditionalFormatting sqref="D803">
    <cfRule type="cellIs" dxfId="12" priority="6" operator="lessThan">
      <formula>36</formula>
    </cfRule>
  </conditionalFormatting>
  <conditionalFormatting sqref="F711:F723">
    <cfRule type="cellIs" dxfId="11" priority="14" operator="lessThan">
      <formula>36</formula>
    </cfRule>
  </conditionalFormatting>
  <conditionalFormatting sqref="F731:F744">
    <cfRule type="cellIs" dxfId="10" priority="11" operator="lessThan">
      <formula>36</formula>
    </cfRule>
  </conditionalFormatting>
  <conditionalFormatting sqref="F803">
    <cfRule type="cellIs" dxfId="9" priority="5" operator="lessThan">
      <formula>36</formula>
    </cfRule>
  </conditionalFormatting>
  <pageMargins left="0.55118110236220474" right="0.55118110236220474" top="0.15748031496062992" bottom="0.43" header="0.19685039370078741" footer="0.31496062992125984"/>
  <pageSetup paperSize="345" scale="85" orientation="portrait" horizontalDpi="4294967294"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4">
    <tabColor rgb="FF7030A0"/>
  </sheetPr>
  <dimension ref="A1:I50"/>
  <sheetViews>
    <sheetView topLeftCell="B28" workbookViewId="0">
      <selection activeCell="L17" sqref="L17"/>
    </sheetView>
  </sheetViews>
  <sheetFormatPr defaultColWidth="11.42578125" defaultRowHeight="15"/>
  <cols>
    <col min="1" max="1" width="6.7109375" customWidth="1"/>
    <col min="2" max="2" width="5.28515625" customWidth="1"/>
    <col min="3" max="3" width="36.5703125" customWidth="1"/>
    <col min="4" max="4" width="7.85546875" customWidth="1"/>
    <col min="5" max="6" width="7.5703125" customWidth="1"/>
    <col min="7" max="7" width="8.42578125" customWidth="1"/>
    <col min="8" max="8" width="2.28515625" customWidth="1"/>
    <col min="9" max="9" width="11.28515625" customWidth="1"/>
  </cols>
  <sheetData>
    <row r="1" spans="1:9" ht="18.75">
      <c r="A1" s="18"/>
      <c r="B1" s="18"/>
      <c r="C1" s="54" t="str">
        <f>NOMINA!B2</f>
        <v>CURSO 2A</v>
      </c>
      <c r="D1" s="55" t="str">
        <f>NOMINA!D2</f>
        <v>GESTION: 2026</v>
      </c>
      <c r="E1" s="55"/>
      <c r="F1" s="55"/>
      <c r="G1" s="18"/>
    </row>
    <row r="2" spans="1:9" ht="15.75" thickBot="1">
      <c r="A2" s="18"/>
      <c r="B2" s="18"/>
      <c r="C2" s="18"/>
      <c r="D2" s="18"/>
      <c r="E2" s="18" t="str">
        <f>NOMINA!D3</f>
        <v>,</v>
      </c>
      <c r="F2" s="18"/>
      <c r="G2" s="18"/>
      <c r="I2" s="18"/>
    </row>
    <row r="3" spans="1:9" ht="26.25" customHeight="1" thickBot="1">
      <c r="A3" s="18"/>
      <c r="B3" s="308" t="str">
        <f>NOMINA!A4</f>
        <v>Nº</v>
      </c>
      <c r="C3" s="310" t="str">
        <f>NOMINA!B4</f>
        <v>APELLIDOS Y NOMBRES</v>
      </c>
      <c r="D3" s="312" t="s">
        <v>13</v>
      </c>
      <c r="E3" s="313"/>
      <c r="F3" s="313"/>
      <c r="G3" s="314"/>
      <c r="I3" s="315" t="s">
        <v>88</v>
      </c>
    </row>
    <row r="4" spans="1:9" ht="14.25" customHeight="1" thickBot="1">
      <c r="A4" s="18"/>
      <c r="B4" s="309"/>
      <c r="C4" s="311"/>
      <c r="D4" s="56" t="s">
        <v>85</v>
      </c>
      <c r="E4" s="57" t="s">
        <v>86</v>
      </c>
      <c r="F4" s="58" t="s">
        <v>87</v>
      </c>
      <c r="G4" s="59" t="s">
        <v>30</v>
      </c>
      <c r="I4" s="316"/>
    </row>
    <row r="5" spans="1:9" ht="17.100000000000001" customHeight="1">
      <c r="A5" s="18"/>
      <c r="B5" s="60">
        <f>NOMINA!A6</f>
        <v>1</v>
      </c>
      <c r="C5" s="60" t="str">
        <f>NOMINA!B6</f>
        <v>ABREU MARRERO LIZ DANIELA</v>
      </c>
      <c r="D5" s="109">
        <f>GRAL.!AL5</f>
        <v>69.787878787878782</v>
      </c>
      <c r="E5" s="109">
        <f>GRAL.!AM5</f>
        <v>0</v>
      </c>
      <c r="F5" s="109">
        <f>GRAL.!AN5</f>
        <v>0</v>
      </c>
      <c r="G5" s="61">
        <f>AVERAGE(D5:F5)</f>
        <v>23.262626262626259</v>
      </c>
      <c r="I5" s="117">
        <f>AVERAGE(D5:E5)</f>
        <v>34.893939393939391</v>
      </c>
    </row>
    <row r="6" spans="1:9" ht="17.100000000000001" customHeight="1">
      <c r="A6" s="18"/>
      <c r="B6" s="60">
        <f>NOMINA!A7</f>
        <v>2</v>
      </c>
      <c r="C6" s="60" t="str">
        <f>NOMINA!B7</f>
        <v>ALIAGA SAAVEDRA MARCU MAURICIO</v>
      </c>
      <c r="D6" s="109">
        <f>GRAL.!AL6</f>
        <v>64.674242424242422</v>
      </c>
      <c r="E6" s="109">
        <f>GRAL.!AM6</f>
        <v>0</v>
      </c>
      <c r="F6" s="109">
        <f>GRAL.!AN6</f>
        <v>0</v>
      </c>
      <c r="G6" s="61">
        <f t="shared" ref="G6:G49" si="0">AVERAGE(D6:F6)</f>
        <v>21.558080808080806</v>
      </c>
      <c r="I6" s="117">
        <f t="shared" ref="I6:I49" si="1">AVERAGE(D6:E6)</f>
        <v>32.337121212121211</v>
      </c>
    </row>
    <row r="7" spans="1:9" ht="17.100000000000001" customHeight="1">
      <c r="A7" s="18"/>
      <c r="B7" s="60">
        <f>NOMINA!A8</f>
        <v>3</v>
      </c>
      <c r="C7" s="60" t="str">
        <f>NOMINA!B8</f>
        <v>ANTEZANA CACHI JOSE MAXWEL</v>
      </c>
      <c r="D7" s="109">
        <f>GRAL.!AL7</f>
        <v>74.939393939393938</v>
      </c>
      <c r="E7" s="109">
        <f>GRAL.!AM7</f>
        <v>0</v>
      </c>
      <c r="F7" s="109">
        <f>GRAL.!AN7</f>
        <v>0</v>
      </c>
      <c r="G7" s="61">
        <f t="shared" si="0"/>
        <v>24.979797979797979</v>
      </c>
      <c r="I7" s="117">
        <f t="shared" si="1"/>
        <v>37.469696969696969</v>
      </c>
    </row>
    <row r="8" spans="1:9" ht="17.100000000000001" customHeight="1">
      <c r="A8" s="18"/>
      <c r="B8" s="60">
        <f>NOMINA!A9</f>
        <v>4</v>
      </c>
      <c r="C8" s="60" t="str">
        <f>NOMINA!B9</f>
        <v>ARIZACA SALGUERO SANTIAGO</v>
      </c>
      <c r="D8" s="109">
        <f>GRAL.!AL8</f>
        <v>61.340909090909093</v>
      </c>
      <c r="E8" s="109">
        <f>GRAL.!AM8</f>
        <v>0</v>
      </c>
      <c r="F8" s="109">
        <f>GRAL.!AN8</f>
        <v>0</v>
      </c>
      <c r="G8" s="61">
        <f t="shared" si="0"/>
        <v>20.446969696969699</v>
      </c>
      <c r="I8" s="117">
        <f t="shared" si="1"/>
        <v>30.670454545454547</v>
      </c>
    </row>
    <row r="9" spans="1:9" ht="17.100000000000001" customHeight="1">
      <c r="A9" s="18"/>
      <c r="B9" s="60">
        <f>NOMINA!A10</f>
        <v>5</v>
      </c>
      <c r="C9" s="60" t="str">
        <f>NOMINA!B10</f>
        <v>BAUTISTA GARCIA ALISON LUCIANA</v>
      </c>
      <c r="D9" s="109">
        <f>GRAL.!AL9</f>
        <v>65.257575757575765</v>
      </c>
      <c r="E9" s="109">
        <f>GRAL.!AM9</f>
        <v>0</v>
      </c>
      <c r="F9" s="109">
        <f>GRAL.!AN9</f>
        <v>0</v>
      </c>
      <c r="G9" s="61">
        <f t="shared" si="0"/>
        <v>21.752525252525256</v>
      </c>
      <c r="I9" s="117">
        <f t="shared" si="1"/>
        <v>32.628787878787882</v>
      </c>
    </row>
    <row r="10" spans="1:9" ht="17.100000000000001" customHeight="1">
      <c r="A10" s="18"/>
      <c r="B10" s="60">
        <f>NOMINA!A11</f>
        <v>6</v>
      </c>
      <c r="C10" s="60" t="str">
        <f>NOMINA!B11</f>
        <v>BOLIVAR REVOLLO NIVARDO ADOLFO</v>
      </c>
      <c r="D10" s="109">
        <f>GRAL.!AL10</f>
        <v>59.560606060606055</v>
      </c>
      <c r="E10" s="109">
        <f>GRAL.!AM10</f>
        <v>0</v>
      </c>
      <c r="F10" s="109">
        <f>GRAL.!AN10</f>
        <v>0</v>
      </c>
      <c r="G10" s="61">
        <f t="shared" si="0"/>
        <v>19.853535353535353</v>
      </c>
      <c r="I10" s="117">
        <f t="shared" si="1"/>
        <v>29.780303030303028</v>
      </c>
    </row>
    <row r="11" spans="1:9" ht="17.100000000000001" customHeight="1">
      <c r="A11" s="18"/>
      <c r="B11" s="60">
        <f>NOMINA!A12</f>
        <v>7</v>
      </c>
      <c r="C11" s="60" t="str">
        <f>NOMINA!B12</f>
        <v>CADIMA SOLIZ NICOLAS</v>
      </c>
      <c r="D11" s="109">
        <f>GRAL.!AL11</f>
        <v>57.287878787878782</v>
      </c>
      <c r="E11" s="109">
        <f>GRAL.!AM11</f>
        <v>0</v>
      </c>
      <c r="F11" s="109">
        <f>GRAL.!AN11</f>
        <v>0</v>
      </c>
      <c r="G11" s="61">
        <f t="shared" si="0"/>
        <v>19.095959595959595</v>
      </c>
      <c r="I11" s="117">
        <f t="shared" si="1"/>
        <v>28.643939393939391</v>
      </c>
    </row>
    <row r="12" spans="1:9" ht="17.100000000000001" customHeight="1">
      <c r="A12" s="18"/>
      <c r="B12" s="60">
        <f>NOMINA!A13</f>
        <v>8</v>
      </c>
      <c r="C12" s="60" t="str">
        <f>NOMINA!B13</f>
        <v>CALLE PEREZ ANDREA BELEN</v>
      </c>
      <c r="D12" s="109">
        <f>GRAL.!AL12</f>
        <v>79.787878787878782</v>
      </c>
      <c r="E12" s="109">
        <f>GRAL.!AM12</f>
        <v>0</v>
      </c>
      <c r="F12" s="109">
        <f>GRAL.!AN12</f>
        <v>0</v>
      </c>
      <c r="G12" s="61">
        <f t="shared" si="0"/>
        <v>26.595959595959595</v>
      </c>
      <c r="I12" s="117">
        <f t="shared" si="1"/>
        <v>39.893939393939391</v>
      </c>
    </row>
    <row r="13" spans="1:9" ht="17.100000000000001" customHeight="1">
      <c r="A13" s="18"/>
      <c r="B13" s="60">
        <f>NOMINA!A14</f>
        <v>9</v>
      </c>
      <c r="C13" s="60" t="str">
        <f>NOMINA!B14</f>
        <v>CHAVEZ AMURRIO SEBASTIAN FABIAN</v>
      </c>
      <c r="D13" s="109">
        <f>GRAL.!AL13</f>
        <v>48.75</v>
      </c>
      <c r="E13" s="109">
        <f>GRAL.!AM13</f>
        <v>0</v>
      </c>
      <c r="F13" s="109">
        <f>GRAL.!AN13</f>
        <v>0</v>
      </c>
      <c r="G13" s="61">
        <f t="shared" si="0"/>
        <v>16.25</v>
      </c>
      <c r="I13" s="117">
        <f t="shared" si="1"/>
        <v>24.375</v>
      </c>
    </row>
    <row r="14" spans="1:9" ht="17.100000000000001" customHeight="1">
      <c r="A14" s="18"/>
      <c r="B14" s="60">
        <f>NOMINA!A15</f>
        <v>10</v>
      </c>
      <c r="C14" s="60" t="str">
        <f>NOMINA!B15</f>
        <v>CHOQUE ARISPE YURIANA LUCIA</v>
      </c>
      <c r="D14" s="109">
        <f>GRAL.!AL14</f>
        <v>58.977272727272727</v>
      </c>
      <c r="E14" s="109">
        <f>GRAL.!AM14</f>
        <v>0</v>
      </c>
      <c r="F14" s="109">
        <f>GRAL.!AN14</f>
        <v>0</v>
      </c>
      <c r="G14" s="61">
        <f t="shared" si="0"/>
        <v>19.65909090909091</v>
      </c>
      <c r="I14" s="117">
        <f t="shared" si="1"/>
        <v>29.488636363636363</v>
      </c>
    </row>
    <row r="15" spans="1:9" ht="17.100000000000001" customHeight="1">
      <c r="A15" s="18"/>
      <c r="B15" s="60">
        <f>NOMINA!A16</f>
        <v>11</v>
      </c>
      <c r="C15" s="60" t="str">
        <f>NOMINA!B16</f>
        <v>CHOQUE PERALTA JHOEL ELIAZAR</v>
      </c>
      <c r="D15" s="109">
        <f>GRAL.!AL15</f>
        <v>79.984848484848484</v>
      </c>
      <c r="E15" s="109">
        <f>GRAL.!AM15</f>
        <v>0</v>
      </c>
      <c r="F15" s="109">
        <f>GRAL.!AN15</f>
        <v>0</v>
      </c>
      <c r="G15" s="61">
        <f t="shared" si="0"/>
        <v>26.661616161616163</v>
      </c>
      <c r="I15" s="117">
        <f t="shared" si="1"/>
        <v>39.992424242424242</v>
      </c>
    </row>
    <row r="16" spans="1:9" ht="17.100000000000001" customHeight="1">
      <c r="A16" s="18"/>
      <c r="B16" s="60">
        <f>NOMINA!A17</f>
        <v>12</v>
      </c>
      <c r="C16" s="60" t="str">
        <f>NOMINA!B17</f>
        <v>COPA RIVERO MARCIA MARCELA</v>
      </c>
      <c r="D16" s="109">
        <f>GRAL.!AL16</f>
        <v>60.060606060606055</v>
      </c>
      <c r="E16" s="109">
        <f>GRAL.!AM16</f>
        <v>0</v>
      </c>
      <c r="F16" s="109">
        <f>GRAL.!AN16</f>
        <v>0</v>
      </c>
      <c r="G16" s="61">
        <f t="shared" si="0"/>
        <v>20.020202020202017</v>
      </c>
      <c r="I16" s="117">
        <f t="shared" si="1"/>
        <v>30.030303030303028</v>
      </c>
    </row>
    <row r="17" spans="1:9" ht="17.100000000000001" customHeight="1">
      <c r="A17" s="18"/>
      <c r="B17" s="60">
        <f>NOMINA!A18</f>
        <v>13</v>
      </c>
      <c r="C17" s="60" t="str">
        <f>NOMINA!B18</f>
        <v>CORIA URUÑO CHRISTOPER GABRIEL</v>
      </c>
      <c r="D17" s="109">
        <f>GRAL.!AL17</f>
        <v>71.946969696969688</v>
      </c>
      <c r="E17" s="109">
        <f>GRAL.!AM17</f>
        <v>0</v>
      </c>
      <c r="F17" s="109">
        <f>GRAL.!AN17</f>
        <v>0</v>
      </c>
      <c r="G17" s="61">
        <f t="shared" si="0"/>
        <v>23.982323232323228</v>
      </c>
      <c r="I17" s="117">
        <f t="shared" si="1"/>
        <v>35.973484848484844</v>
      </c>
    </row>
    <row r="18" spans="1:9" ht="17.100000000000001" customHeight="1">
      <c r="A18" s="18"/>
      <c r="B18" s="60">
        <f>NOMINA!A19</f>
        <v>14</v>
      </c>
      <c r="C18" s="60" t="str">
        <f>NOMINA!B19</f>
        <v>FLORES BALLESTEROS LEANDRO FRANK</v>
      </c>
      <c r="D18" s="109">
        <f>GRAL.!AL18</f>
        <v>69.606060606060609</v>
      </c>
      <c r="E18" s="109">
        <f>GRAL.!AM18</f>
        <v>0</v>
      </c>
      <c r="F18" s="109">
        <f>GRAL.!AN18</f>
        <v>0</v>
      </c>
      <c r="G18" s="61">
        <f t="shared" si="0"/>
        <v>23.202020202020204</v>
      </c>
      <c r="I18" s="117">
        <f t="shared" si="1"/>
        <v>34.803030303030305</v>
      </c>
    </row>
    <row r="19" spans="1:9" ht="17.100000000000001" customHeight="1">
      <c r="A19" s="18"/>
      <c r="B19" s="60">
        <f>NOMINA!A20</f>
        <v>15</v>
      </c>
      <c r="C19" s="60" t="str">
        <f>NOMINA!B20</f>
        <v>GONZALES MOLINA ARIANET BELEN</v>
      </c>
      <c r="D19" s="109">
        <f>GRAL.!AL19</f>
        <v>81.416666666666671</v>
      </c>
      <c r="E19" s="109">
        <f>GRAL.!AM19</f>
        <v>0</v>
      </c>
      <c r="F19" s="109">
        <f>GRAL.!AN19</f>
        <v>0</v>
      </c>
      <c r="G19" s="61">
        <f t="shared" si="0"/>
        <v>27.138888888888889</v>
      </c>
      <c r="I19" s="117">
        <f t="shared" si="1"/>
        <v>40.708333333333336</v>
      </c>
    </row>
    <row r="20" spans="1:9" ht="17.100000000000001" customHeight="1">
      <c r="A20" s="18"/>
      <c r="B20" s="60">
        <f>NOMINA!A21</f>
        <v>16</v>
      </c>
      <c r="C20" s="60" t="str">
        <f>NOMINA!B21</f>
        <v>GUAQUIPA BECERRA NICOLAS ALEX</v>
      </c>
      <c r="D20" s="109">
        <f>GRAL.!AL20</f>
        <v>79.151515151515142</v>
      </c>
      <c r="E20" s="109">
        <f>GRAL.!AM20</f>
        <v>0</v>
      </c>
      <c r="F20" s="109">
        <f>GRAL.!AN20</f>
        <v>0</v>
      </c>
      <c r="G20" s="61">
        <f t="shared" si="0"/>
        <v>26.383838383838381</v>
      </c>
      <c r="I20" s="117">
        <f t="shared" si="1"/>
        <v>39.575757575757571</v>
      </c>
    </row>
    <row r="21" spans="1:9" ht="17.100000000000001" customHeight="1">
      <c r="A21" s="18"/>
      <c r="B21" s="60">
        <f>NOMINA!A22</f>
        <v>17</v>
      </c>
      <c r="C21" s="60" t="str">
        <f>NOMINA!B22</f>
        <v>HUANQUIRI MAMANI JHOSMAR</v>
      </c>
      <c r="D21" s="109">
        <f>GRAL.!AL21</f>
        <v>49.946969696969695</v>
      </c>
      <c r="E21" s="109">
        <f>GRAL.!AM21</f>
        <v>0</v>
      </c>
      <c r="F21" s="109">
        <f>GRAL.!AN21</f>
        <v>0</v>
      </c>
      <c r="G21" s="61">
        <f t="shared" si="0"/>
        <v>16.6489898989899</v>
      </c>
      <c r="I21" s="117">
        <f t="shared" si="1"/>
        <v>24.973484848484848</v>
      </c>
    </row>
    <row r="22" spans="1:9" ht="17.100000000000001" customHeight="1">
      <c r="A22" s="18"/>
      <c r="B22" s="60">
        <f>NOMINA!A23</f>
        <v>18</v>
      </c>
      <c r="C22" s="60" t="str">
        <f>NOMINA!B23</f>
        <v>JOVE ARNEZ ANDREA LUCIANA</v>
      </c>
      <c r="D22" s="109">
        <f>GRAL.!AL22</f>
        <v>55.015151515151508</v>
      </c>
      <c r="E22" s="109">
        <f>GRAL.!AM22</f>
        <v>0</v>
      </c>
      <c r="F22" s="109">
        <f>GRAL.!AN22</f>
        <v>0</v>
      </c>
      <c r="G22" s="61">
        <f t="shared" si="0"/>
        <v>18.338383838383837</v>
      </c>
      <c r="I22" s="117">
        <f t="shared" si="1"/>
        <v>27.507575757575754</v>
      </c>
    </row>
    <row r="23" spans="1:9" ht="17.100000000000001" customHeight="1">
      <c r="A23" s="18"/>
      <c r="B23" s="60">
        <f>NOMINA!A24</f>
        <v>19</v>
      </c>
      <c r="C23" s="60" t="str">
        <f>NOMINA!B24</f>
        <v>LAFUENTE ORTUÑO VICTORIA VALENTINA</v>
      </c>
      <c r="D23" s="109">
        <f>GRAL.!AL23</f>
        <v>50.363636363636367</v>
      </c>
      <c r="E23" s="109">
        <f>GRAL.!AM23</f>
        <v>0</v>
      </c>
      <c r="F23" s="109">
        <f>GRAL.!AN23</f>
        <v>0</v>
      </c>
      <c r="G23" s="61">
        <f t="shared" si="0"/>
        <v>16.787878787878789</v>
      </c>
      <c r="I23" s="117">
        <f t="shared" si="1"/>
        <v>25.181818181818183</v>
      </c>
    </row>
    <row r="24" spans="1:9" ht="17.100000000000001" customHeight="1">
      <c r="A24" s="18"/>
      <c r="B24" s="60">
        <f>NOMINA!A25</f>
        <v>20</v>
      </c>
      <c r="C24" s="60" t="str">
        <f>NOMINA!B25</f>
        <v>MAGNANI CANAVIRI JOSUE JHONATHAN</v>
      </c>
      <c r="D24" s="109">
        <f>GRAL.!AL24</f>
        <v>63.06818181818182</v>
      </c>
      <c r="E24" s="109">
        <f>GRAL.!AM24</f>
        <v>0</v>
      </c>
      <c r="F24" s="109">
        <f>GRAL.!AN24</f>
        <v>0</v>
      </c>
      <c r="G24" s="61">
        <f t="shared" si="0"/>
        <v>21.022727272727273</v>
      </c>
      <c r="I24" s="117">
        <f t="shared" si="1"/>
        <v>31.53409090909091</v>
      </c>
    </row>
    <row r="25" spans="1:9" ht="17.100000000000001" customHeight="1">
      <c r="A25" s="18"/>
      <c r="B25" s="60">
        <f>NOMINA!A26</f>
        <v>21</v>
      </c>
      <c r="C25" s="60" t="str">
        <f>NOMINA!B26</f>
        <v>MERUVIA GUTIERREZ ASHLY SCARLETT</v>
      </c>
      <c r="D25" s="109">
        <f>GRAL.!AL25</f>
        <v>92.242424242424235</v>
      </c>
      <c r="E25" s="109">
        <f>GRAL.!AM25</f>
        <v>0</v>
      </c>
      <c r="F25" s="109">
        <f>GRAL.!AN25</f>
        <v>0</v>
      </c>
      <c r="G25" s="61">
        <f t="shared" si="0"/>
        <v>30.747474747474744</v>
      </c>
      <c r="I25" s="117">
        <f t="shared" si="1"/>
        <v>46.121212121212118</v>
      </c>
    </row>
    <row r="26" spans="1:9" ht="17.100000000000001" customHeight="1">
      <c r="A26" s="18"/>
      <c r="B26" s="60">
        <f>NOMINA!A27</f>
        <v>22</v>
      </c>
      <c r="C26" s="60" t="str">
        <f>NOMINA!B27</f>
        <v>MONTAÑO QUILO BENJAMIN GONZALO</v>
      </c>
      <c r="D26" s="109">
        <f>GRAL.!AL26</f>
        <v>50.712121212121218</v>
      </c>
      <c r="E26" s="109">
        <f>GRAL.!AM26</f>
        <v>0</v>
      </c>
      <c r="F26" s="109">
        <f>GRAL.!AN26</f>
        <v>0</v>
      </c>
      <c r="G26" s="61">
        <f t="shared" si="0"/>
        <v>16.904040404040405</v>
      </c>
      <c r="I26" s="117">
        <f t="shared" si="1"/>
        <v>25.356060606060609</v>
      </c>
    </row>
    <row r="27" spans="1:9" ht="17.100000000000001" customHeight="1">
      <c r="A27" s="18"/>
      <c r="B27" s="60">
        <f>NOMINA!A28</f>
        <v>23</v>
      </c>
      <c r="C27" s="60" t="str">
        <f>NOMINA!B28</f>
        <v>PANIAGUA VARGAS KEYLA</v>
      </c>
      <c r="D27" s="109">
        <f>GRAL.!AL27</f>
        <v>71.242424242424235</v>
      </c>
      <c r="E27" s="109">
        <f>GRAL.!AM27</f>
        <v>0</v>
      </c>
      <c r="F27" s="109">
        <f>GRAL.!AN27</f>
        <v>0</v>
      </c>
      <c r="G27" s="61">
        <f t="shared" si="0"/>
        <v>23.747474747474744</v>
      </c>
      <c r="I27" s="117">
        <f t="shared" si="1"/>
        <v>35.621212121212118</v>
      </c>
    </row>
    <row r="28" spans="1:9" ht="17.100000000000001" customHeight="1">
      <c r="A28" s="18"/>
      <c r="B28" s="60">
        <f>NOMINA!A29</f>
        <v>24</v>
      </c>
      <c r="C28" s="60" t="str">
        <f>NOMINA!B29</f>
        <v>PATZI GUARACHI MARIA BELEN</v>
      </c>
      <c r="D28" s="109">
        <f>GRAL.!AL28</f>
        <v>81.106060606060609</v>
      </c>
      <c r="E28" s="109">
        <f>GRAL.!AM28</f>
        <v>0</v>
      </c>
      <c r="F28" s="109">
        <f>GRAL.!AN28</f>
        <v>0</v>
      </c>
      <c r="G28" s="61">
        <f t="shared" si="0"/>
        <v>27.035353535353536</v>
      </c>
      <c r="I28" s="117">
        <f t="shared" si="1"/>
        <v>40.553030303030305</v>
      </c>
    </row>
    <row r="29" spans="1:9" ht="17.100000000000001" customHeight="1">
      <c r="A29" s="18"/>
      <c r="B29" s="60">
        <f>NOMINA!A30</f>
        <v>25</v>
      </c>
      <c r="C29" s="60" t="str">
        <f>NOMINA!B30</f>
        <v>QUENALLATA CESPEDES LUMAIDA YANISS</v>
      </c>
      <c r="D29" s="109">
        <f>GRAL.!AL29</f>
        <v>55.037878787878782</v>
      </c>
      <c r="E29" s="109">
        <f>GRAL.!AM29</f>
        <v>0</v>
      </c>
      <c r="F29" s="109">
        <f>GRAL.!AN29</f>
        <v>0</v>
      </c>
      <c r="G29" s="61">
        <f t="shared" si="0"/>
        <v>18.345959595959595</v>
      </c>
      <c r="I29" s="117">
        <f t="shared" si="1"/>
        <v>27.518939393939391</v>
      </c>
    </row>
    <row r="30" spans="1:9" ht="17.100000000000001" customHeight="1">
      <c r="A30" s="18"/>
      <c r="B30" s="60">
        <f>NOMINA!A31</f>
        <v>26</v>
      </c>
      <c r="C30" s="60" t="str">
        <f>NOMINA!B31</f>
        <v>QUISPE ESCARZA CIELO</v>
      </c>
      <c r="D30" s="109">
        <f>GRAL.!AL30</f>
        <v>52.530303030303031</v>
      </c>
      <c r="E30" s="109">
        <f>GRAL.!AM30</f>
        <v>0</v>
      </c>
      <c r="F30" s="109">
        <f>GRAL.!AN30</f>
        <v>0</v>
      </c>
      <c r="G30" s="61">
        <f t="shared" si="0"/>
        <v>17.51010101010101</v>
      </c>
      <c r="I30" s="117">
        <f t="shared" si="1"/>
        <v>26.265151515151516</v>
      </c>
    </row>
    <row r="31" spans="1:9" ht="17.100000000000001" customHeight="1">
      <c r="A31" s="18"/>
      <c r="B31" s="60">
        <f>NOMINA!A32</f>
        <v>27</v>
      </c>
      <c r="C31" s="60" t="str">
        <f>NOMINA!B32</f>
        <v>QUISPE MILAN ADRIAN ANTHONY</v>
      </c>
      <c r="D31" s="109">
        <f>GRAL.!AL31</f>
        <v>62.712121212121218</v>
      </c>
      <c r="E31" s="109">
        <f>GRAL.!AM31</f>
        <v>0</v>
      </c>
      <c r="F31" s="109">
        <f>GRAL.!AN31</f>
        <v>0</v>
      </c>
      <c r="G31" s="61">
        <f t="shared" si="0"/>
        <v>20.904040404040405</v>
      </c>
      <c r="I31" s="117">
        <f t="shared" si="1"/>
        <v>31.356060606060609</v>
      </c>
    </row>
    <row r="32" spans="1:9" ht="17.100000000000001" customHeight="1">
      <c r="A32" s="18"/>
      <c r="B32" s="60">
        <f>NOMINA!A33</f>
        <v>28</v>
      </c>
      <c r="C32" s="60" t="str">
        <f>NOMINA!B33</f>
        <v>ROMAN TITO MATEO</v>
      </c>
      <c r="D32" s="109">
        <f>GRAL.!AL32</f>
        <v>79.075757575757578</v>
      </c>
      <c r="E32" s="109">
        <f>GRAL.!AM32</f>
        <v>0</v>
      </c>
      <c r="F32" s="109">
        <f>GRAL.!AN32</f>
        <v>0</v>
      </c>
      <c r="G32" s="61">
        <f t="shared" si="0"/>
        <v>26.358585858585858</v>
      </c>
      <c r="I32" s="117">
        <f t="shared" si="1"/>
        <v>39.537878787878789</v>
      </c>
    </row>
    <row r="33" spans="1:9" ht="17.100000000000001" customHeight="1">
      <c r="A33" s="18"/>
      <c r="B33" s="60">
        <f>NOMINA!A34</f>
        <v>29</v>
      </c>
      <c r="C33" s="60" t="str">
        <f>NOMINA!B34</f>
        <v xml:space="preserve">SILES MAMANI JUSTIN ANGEL </v>
      </c>
      <c r="D33" s="109">
        <f>GRAL.!AL33</f>
        <v>66.121212121212125</v>
      </c>
      <c r="E33" s="109">
        <f>GRAL.!AM33</f>
        <v>0</v>
      </c>
      <c r="F33" s="109">
        <f>GRAL.!AN33</f>
        <v>0</v>
      </c>
      <c r="G33" s="61">
        <f t="shared" si="0"/>
        <v>22.040404040404042</v>
      </c>
      <c r="I33" s="117">
        <f t="shared" si="1"/>
        <v>33.060606060606062</v>
      </c>
    </row>
    <row r="34" spans="1:9" ht="17.100000000000001" customHeight="1">
      <c r="A34" s="18"/>
      <c r="B34" s="60">
        <f>NOMINA!A35</f>
        <v>30</v>
      </c>
      <c r="C34" s="60" t="str">
        <f>NOMINA!B35</f>
        <v>TERAN COCA DIEGO NICOLAS</v>
      </c>
      <c r="D34" s="109">
        <f>GRAL.!AL34</f>
        <v>65.060606060606062</v>
      </c>
      <c r="E34" s="109">
        <f>GRAL.!AM34</f>
        <v>0</v>
      </c>
      <c r="F34" s="109">
        <f>GRAL.!AN34</f>
        <v>0</v>
      </c>
      <c r="G34" s="61">
        <f t="shared" si="0"/>
        <v>21.686868686868689</v>
      </c>
      <c r="I34" s="117">
        <f t="shared" si="1"/>
        <v>32.530303030303031</v>
      </c>
    </row>
    <row r="35" spans="1:9" ht="17.100000000000001" customHeight="1">
      <c r="A35" s="18"/>
      <c r="B35" s="60">
        <f>NOMINA!A36</f>
        <v>31</v>
      </c>
      <c r="C35" s="60" t="str">
        <f>NOMINA!B36</f>
        <v>URIA LOPEZ SEBASTIAN ARIEL</v>
      </c>
      <c r="D35" s="109">
        <f>GRAL.!AL35</f>
        <v>64.742424242424235</v>
      </c>
      <c r="E35" s="109">
        <f>GRAL.!AM35</f>
        <v>0</v>
      </c>
      <c r="F35" s="109">
        <f>GRAL.!AN35</f>
        <v>0</v>
      </c>
      <c r="G35" s="61">
        <f t="shared" si="0"/>
        <v>21.58080808080808</v>
      </c>
      <c r="I35" s="117">
        <f t="shared" si="1"/>
        <v>32.371212121212118</v>
      </c>
    </row>
    <row r="36" spans="1:9" ht="17.100000000000001" customHeight="1">
      <c r="A36" s="18"/>
      <c r="B36" s="60">
        <f>NOMINA!A37</f>
        <v>32</v>
      </c>
      <c r="C36" s="60" t="str">
        <f>NOMINA!B37</f>
        <v>VASQUEZ ESPINOZA JHONATAN YAYCOB</v>
      </c>
      <c r="D36" s="109">
        <f>GRAL.!AL36</f>
        <v>65</v>
      </c>
      <c r="E36" s="109">
        <f>GRAL.!AM36</f>
        <v>0</v>
      </c>
      <c r="F36" s="109">
        <f>GRAL.!AN36</f>
        <v>0</v>
      </c>
      <c r="G36" s="61">
        <f t="shared" si="0"/>
        <v>21.666666666666668</v>
      </c>
      <c r="I36" s="117">
        <f t="shared" si="1"/>
        <v>32.5</v>
      </c>
    </row>
    <row r="37" spans="1:9" ht="17.100000000000001" customHeight="1">
      <c r="A37" s="18"/>
      <c r="B37" s="60">
        <f>NOMINA!A38</f>
        <v>33</v>
      </c>
      <c r="C37" s="60" t="str">
        <f>NOMINA!B38</f>
        <v>VEIZAGA LEDEZMA SEBASTIAN</v>
      </c>
      <c r="D37" s="109">
        <f>GRAL.!AL37</f>
        <v>69.598484848484858</v>
      </c>
      <c r="E37" s="109">
        <f>GRAL.!AM37</f>
        <v>0</v>
      </c>
      <c r="F37" s="109">
        <f>GRAL.!AN37</f>
        <v>0</v>
      </c>
      <c r="G37" s="61">
        <f t="shared" si="0"/>
        <v>23.199494949494952</v>
      </c>
      <c r="I37" s="117">
        <f t="shared" si="1"/>
        <v>34.799242424242429</v>
      </c>
    </row>
    <row r="38" spans="1:9" ht="17.100000000000001" customHeight="1">
      <c r="A38" s="18"/>
      <c r="B38" s="60">
        <f>NOMINA!A39</f>
        <v>34</v>
      </c>
      <c r="C38" s="60" t="str">
        <f>NOMINA!B39</f>
        <v>VILLARROEL CUCHILLO HUGO SEBASTIAN</v>
      </c>
      <c r="D38" s="109">
        <f>GRAL.!AL38</f>
        <v>55.734848484848492</v>
      </c>
      <c r="E38" s="109">
        <f>GRAL.!AM38</f>
        <v>0</v>
      </c>
      <c r="F38" s="109">
        <f>GRAL.!AN38</f>
        <v>0</v>
      </c>
      <c r="G38" s="61">
        <f t="shared" si="0"/>
        <v>18.578282828282831</v>
      </c>
      <c r="I38" s="117">
        <f t="shared" si="1"/>
        <v>27.867424242424246</v>
      </c>
    </row>
    <row r="39" spans="1:9" ht="17.100000000000001" customHeight="1">
      <c r="A39" s="18"/>
      <c r="B39" s="60">
        <f>NOMINA!A40</f>
        <v>35</v>
      </c>
      <c r="C39" s="60" t="str">
        <f>NOMINA!B40</f>
        <v>ZAMBRANA MENDEZ MIRCO ALEXANDER</v>
      </c>
      <c r="D39" s="109">
        <f>GRAL.!AL39</f>
        <v>53.507575757575758</v>
      </c>
      <c r="E39" s="109">
        <f>GRAL.!AM39</f>
        <v>0</v>
      </c>
      <c r="F39" s="109">
        <f>GRAL.!AN39</f>
        <v>0</v>
      </c>
      <c r="G39" s="61">
        <f t="shared" si="0"/>
        <v>17.835858585858585</v>
      </c>
      <c r="I39" s="117">
        <f t="shared" si="1"/>
        <v>26.753787878787879</v>
      </c>
    </row>
    <row r="40" spans="1:9" ht="17.100000000000001" customHeight="1">
      <c r="A40" s="18"/>
      <c r="B40" s="60">
        <f>NOMINA!A41</f>
        <v>36</v>
      </c>
      <c r="C40" s="60">
        <f>NOMINA!B41</f>
        <v>0</v>
      </c>
      <c r="D40" s="109">
        <f>GRAL.!AL40</f>
        <v>0</v>
      </c>
      <c r="E40" s="109">
        <f>GRAL.!AM40</f>
        <v>0</v>
      </c>
      <c r="F40" s="109">
        <f>GRAL.!AN40</f>
        <v>0</v>
      </c>
      <c r="G40" s="61">
        <f t="shared" si="0"/>
        <v>0</v>
      </c>
      <c r="I40" s="117">
        <f t="shared" si="1"/>
        <v>0</v>
      </c>
    </row>
    <row r="41" spans="1:9" ht="17.100000000000001" customHeight="1">
      <c r="A41" s="18"/>
      <c r="B41" s="60">
        <f>NOMINA!A42</f>
        <v>37</v>
      </c>
      <c r="C41" s="60">
        <f>NOMINA!B42</f>
        <v>0</v>
      </c>
      <c r="D41" s="109">
        <f>GRAL.!AL41</f>
        <v>0</v>
      </c>
      <c r="E41" s="109">
        <f>GRAL.!AM41</f>
        <v>0</v>
      </c>
      <c r="F41" s="109">
        <f>GRAL.!AN41</f>
        <v>0</v>
      </c>
      <c r="G41" s="61">
        <f t="shared" si="0"/>
        <v>0</v>
      </c>
      <c r="I41" s="117">
        <f t="shared" si="1"/>
        <v>0</v>
      </c>
    </row>
    <row r="42" spans="1:9" ht="17.100000000000001" customHeight="1">
      <c r="A42" s="18"/>
      <c r="B42" s="60">
        <f>NOMINA!A43</f>
        <v>38</v>
      </c>
      <c r="C42" s="60">
        <f>NOMINA!B43</f>
        <v>0</v>
      </c>
      <c r="D42" s="109">
        <f>GRAL.!AL42</f>
        <v>0</v>
      </c>
      <c r="E42" s="109">
        <f>GRAL.!AM42</f>
        <v>0</v>
      </c>
      <c r="F42" s="109">
        <f>GRAL.!AN42</f>
        <v>0</v>
      </c>
      <c r="G42" s="61">
        <f t="shared" si="0"/>
        <v>0</v>
      </c>
      <c r="I42" s="117">
        <f t="shared" si="1"/>
        <v>0</v>
      </c>
    </row>
    <row r="43" spans="1:9" ht="17.100000000000001" customHeight="1">
      <c r="A43" s="18"/>
      <c r="B43" s="60">
        <f>NOMINA!A44</f>
        <v>39</v>
      </c>
      <c r="C43" s="60">
        <f>NOMINA!B44</f>
        <v>0</v>
      </c>
      <c r="D43" s="109">
        <f>GRAL.!AL43</f>
        <v>0</v>
      </c>
      <c r="E43" s="109">
        <f>GRAL.!AM43</f>
        <v>0</v>
      </c>
      <c r="F43" s="109">
        <f>GRAL.!AN43</f>
        <v>0</v>
      </c>
      <c r="G43" s="61">
        <f t="shared" si="0"/>
        <v>0</v>
      </c>
      <c r="I43" s="117">
        <f t="shared" si="1"/>
        <v>0</v>
      </c>
    </row>
    <row r="44" spans="1:9" ht="17.100000000000001" customHeight="1">
      <c r="A44" s="18"/>
      <c r="B44" s="60">
        <f>NOMINA!A45</f>
        <v>40</v>
      </c>
      <c r="C44" s="60">
        <f>NOMINA!B45</f>
        <v>0</v>
      </c>
      <c r="D44" s="109">
        <f>GRAL.!AL44</f>
        <v>0</v>
      </c>
      <c r="E44" s="109">
        <f>GRAL.!AM44</f>
        <v>0</v>
      </c>
      <c r="F44" s="109">
        <f>GRAL.!AN44</f>
        <v>0</v>
      </c>
      <c r="G44" s="61">
        <f t="shared" si="0"/>
        <v>0</v>
      </c>
      <c r="I44" s="117">
        <f t="shared" si="1"/>
        <v>0</v>
      </c>
    </row>
    <row r="45" spans="1:9">
      <c r="A45" s="18"/>
      <c r="B45" s="60">
        <f>NOMINA!A46</f>
        <v>41</v>
      </c>
      <c r="C45" s="60">
        <f>NOMINA!B46</f>
        <v>0</v>
      </c>
      <c r="D45" s="109">
        <f>GRAL.!AL45</f>
        <v>0</v>
      </c>
      <c r="E45" s="109">
        <f>GRAL.!AM45</f>
        <v>0</v>
      </c>
      <c r="F45" s="109">
        <f>GRAL.!AN45</f>
        <v>0</v>
      </c>
      <c r="G45" s="61">
        <f t="shared" si="0"/>
        <v>0</v>
      </c>
      <c r="I45" s="117">
        <f t="shared" si="1"/>
        <v>0</v>
      </c>
    </row>
    <row r="46" spans="1:9">
      <c r="B46" s="60">
        <f>NOMINA!A47</f>
        <v>42</v>
      </c>
      <c r="C46" s="60">
        <f>NOMINA!B47</f>
        <v>0</v>
      </c>
      <c r="D46" s="109">
        <f>GRAL.!AL46</f>
        <v>0</v>
      </c>
      <c r="E46" s="109">
        <f>GRAL.!AM46</f>
        <v>0</v>
      </c>
      <c r="F46" s="109">
        <f>GRAL.!AN46</f>
        <v>0</v>
      </c>
      <c r="G46" s="61">
        <f t="shared" si="0"/>
        <v>0</v>
      </c>
      <c r="I46" s="117">
        <f t="shared" si="1"/>
        <v>0</v>
      </c>
    </row>
    <row r="47" spans="1:9">
      <c r="B47" s="60">
        <f>NOMINA!A48</f>
        <v>43</v>
      </c>
      <c r="C47" s="60">
        <f>NOMINA!B48</f>
        <v>0</v>
      </c>
      <c r="D47" s="109">
        <f>GRAL.!AL47</f>
        <v>0</v>
      </c>
      <c r="E47" s="109">
        <f>GRAL.!AM47</f>
        <v>0</v>
      </c>
      <c r="F47" s="109">
        <f>GRAL.!AN47</f>
        <v>0</v>
      </c>
      <c r="G47" s="61">
        <f t="shared" si="0"/>
        <v>0</v>
      </c>
      <c r="I47" s="117">
        <f t="shared" si="1"/>
        <v>0</v>
      </c>
    </row>
    <row r="48" spans="1:9">
      <c r="B48" s="60">
        <f>NOMINA!A49</f>
        <v>44</v>
      </c>
      <c r="C48" s="60">
        <f>NOMINA!B49</f>
        <v>0</v>
      </c>
      <c r="D48" s="109">
        <f>GRAL.!AL48</f>
        <v>0</v>
      </c>
      <c r="E48" s="109">
        <f>GRAL.!AM48</f>
        <v>0</v>
      </c>
      <c r="F48" s="109">
        <f>GRAL.!AN48</f>
        <v>0</v>
      </c>
      <c r="G48" s="61">
        <f t="shared" si="0"/>
        <v>0</v>
      </c>
      <c r="I48" s="117">
        <f t="shared" si="1"/>
        <v>0</v>
      </c>
    </row>
    <row r="49" spans="2:9">
      <c r="B49" s="60">
        <f>NOMINA!A50</f>
        <v>45</v>
      </c>
      <c r="C49" s="60">
        <f>NOMINA!B50</f>
        <v>0</v>
      </c>
      <c r="D49" s="109">
        <f>GRAL.!AL49</f>
        <v>0</v>
      </c>
      <c r="E49" s="109">
        <f>GRAL.!AM49</f>
        <v>0</v>
      </c>
      <c r="F49" s="109">
        <f>GRAL.!AN49</f>
        <v>0</v>
      </c>
      <c r="G49" s="61">
        <f t="shared" si="0"/>
        <v>0</v>
      </c>
      <c r="I49" s="117">
        <f t="shared" si="1"/>
        <v>0</v>
      </c>
    </row>
    <row r="50" spans="2:9">
      <c r="B50" s="60"/>
    </row>
  </sheetData>
  <mergeCells count="4">
    <mergeCell ref="B3:B4"/>
    <mergeCell ref="C3:C4"/>
    <mergeCell ref="D3:G3"/>
    <mergeCell ref="I3:I4"/>
  </mergeCells>
  <conditionalFormatting sqref="D5:F49">
    <cfRule type="top10" dxfId="8" priority="3" rank="4"/>
  </conditionalFormatting>
  <conditionalFormatting sqref="G5:G49">
    <cfRule type="top10" dxfId="7" priority="1" rank="4"/>
  </conditionalFormatting>
  <conditionalFormatting sqref="I5:I49">
    <cfRule type="top10" dxfId="6" priority="50" rank="4"/>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5">
    <tabColor theme="5" tint="-0.249977111117893"/>
  </sheetPr>
  <dimension ref="A1:AN57"/>
  <sheetViews>
    <sheetView workbookViewId="0">
      <pane ySplit="4" topLeftCell="A26" activePane="bottomLeft" state="frozen"/>
      <selection pane="bottomLeft" activeCell="AG54" sqref="AG54"/>
    </sheetView>
  </sheetViews>
  <sheetFormatPr defaultColWidth="11.42578125" defaultRowHeight="15"/>
  <cols>
    <col min="1" max="1" width="2.7109375" customWidth="1"/>
    <col min="2" max="2" width="27.28515625" customWidth="1"/>
    <col min="3" max="35" width="3.7109375" customWidth="1"/>
    <col min="36" max="37" width="3" customWidth="1"/>
    <col min="38" max="38" width="5.5703125" hidden="1" customWidth="1"/>
    <col min="39" max="40" width="4.5703125" hidden="1" customWidth="1"/>
  </cols>
  <sheetData>
    <row r="1" spans="1:40" ht="19.5" customHeight="1" thickBot="1">
      <c r="A1" s="18"/>
      <c r="B1" s="18"/>
      <c r="C1" s="18"/>
      <c r="D1" s="18"/>
      <c r="E1" s="18"/>
      <c r="F1" s="324" t="s">
        <v>96</v>
      </c>
      <c r="G1" s="324"/>
      <c r="H1" s="324"/>
      <c r="I1" s="324"/>
      <c r="J1" s="324"/>
      <c r="K1" s="324"/>
      <c r="L1" s="324"/>
      <c r="M1" s="324"/>
      <c r="N1" s="324"/>
      <c r="O1" s="324"/>
      <c r="P1" s="324"/>
      <c r="Q1" s="324"/>
      <c r="R1" s="324"/>
      <c r="S1" s="324"/>
      <c r="T1" s="324"/>
      <c r="U1" s="324"/>
      <c r="V1" s="324"/>
      <c r="W1" s="324"/>
      <c r="X1" s="324"/>
      <c r="Y1" s="324"/>
      <c r="Z1" s="324"/>
      <c r="AA1" s="324"/>
      <c r="AB1" s="324"/>
      <c r="AC1" s="324"/>
      <c r="AD1" s="324"/>
      <c r="AE1" s="324"/>
      <c r="AF1" s="324"/>
      <c r="AG1" s="324"/>
      <c r="AH1" s="324"/>
      <c r="AI1" s="324"/>
    </row>
    <row r="2" spans="1:40" ht="15.75" customHeight="1" thickTop="1">
      <c r="A2" s="83"/>
      <c r="B2" s="326" t="str">
        <f>NOMINA!$B$2</f>
        <v>CURSO 2A</v>
      </c>
      <c r="C2" s="325" t="s">
        <v>15</v>
      </c>
      <c r="D2" s="318"/>
      <c r="E2" s="319"/>
      <c r="F2" s="317" t="s">
        <v>16</v>
      </c>
      <c r="G2" s="318"/>
      <c r="H2" s="319"/>
      <c r="I2" s="317" t="s">
        <v>56</v>
      </c>
      <c r="J2" s="318"/>
      <c r="K2" s="319"/>
      <c r="L2" s="317" t="s">
        <v>23</v>
      </c>
      <c r="M2" s="318"/>
      <c r="N2" s="319"/>
      <c r="O2" s="317" t="s">
        <v>18</v>
      </c>
      <c r="P2" s="318"/>
      <c r="Q2" s="319"/>
      <c r="R2" s="317" t="s">
        <v>40</v>
      </c>
      <c r="S2" s="318"/>
      <c r="T2" s="319"/>
      <c r="U2" s="317" t="s">
        <v>14</v>
      </c>
      <c r="V2" s="318"/>
      <c r="W2" s="319"/>
      <c r="X2" s="317" t="s">
        <v>102</v>
      </c>
      <c r="Y2" s="318"/>
      <c r="Z2" s="319"/>
      <c r="AA2" s="317" t="s">
        <v>103</v>
      </c>
      <c r="AB2" s="318"/>
      <c r="AC2" s="319"/>
      <c r="AD2" s="317" t="s">
        <v>57</v>
      </c>
      <c r="AE2" s="318"/>
      <c r="AF2" s="319"/>
      <c r="AG2" s="317" t="s">
        <v>19</v>
      </c>
      <c r="AH2" s="318"/>
      <c r="AI2" s="319"/>
      <c r="AL2" s="317" t="s">
        <v>146</v>
      </c>
      <c r="AM2" s="318"/>
      <c r="AN2" s="319"/>
    </row>
    <row r="3" spans="1:40" ht="15" customHeight="1">
      <c r="A3" s="92"/>
      <c r="B3" s="327"/>
      <c r="C3" s="320" t="s">
        <v>89</v>
      </c>
      <c r="D3" s="320" t="s">
        <v>90</v>
      </c>
      <c r="E3" s="322" t="s">
        <v>87</v>
      </c>
      <c r="F3" s="330" t="s">
        <v>89</v>
      </c>
      <c r="G3" s="332" t="s">
        <v>90</v>
      </c>
      <c r="H3" s="328" t="s">
        <v>87</v>
      </c>
      <c r="I3" s="320" t="s">
        <v>89</v>
      </c>
      <c r="J3" s="320" t="s">
        <v>90</v>
      </c>
      <c r="K3" s="322" t="s">
        <v>87</v>
      </c>
      <c r="L3" s="320" t="s">
        <v>89</v>
      </c>
      <c r="M3" s="320" t="s">
        <v>90</v>
      </c>
      <c r="N3" s="322" t="s">
        <v>87</v>
      </c>
      <c r="O3" s="320" t="s">
        <v>89</v>
      </c>
      <c r="P3" s="320" t="s">
        <v>90</v>
      </c>
      <c r="Q3" s="322" t="s">
        <v>87</v>
      </c>
      <c r="R3" s="320" t="s">
        <v>89</v>
      </c>
      <c r="S3" s="320" t="s">
        <v>90</v>
      </c>
      <c r="T3" s="322" t="s">
        <v>87</v>
      </c>
      <c r="U3" s="320" t="s">
        <v>89</v>
      </c>
      <c r="V3" s="320" t="s">
        <v>90</v>
      </c>
      <c r="W3" s="322" t="s">
        <v>87</v>
      </c>
      <c r="X3" s="320" t="s">
        <v>89</v>
      </c>
      <c r="Y3" s="320" t="s">
        <v>90</v>
      </c>
      <c r="Z3" s="322" t="s">
        <v>87</v>
      </c>
      <c r="AA3" s="320" t="s">
        <v>89</v>
      </c>
      <c r="AB3" s="320" t="s">
        <v>90</v>
      </c>
      <c r="AC3" s="322" t="s">
        <v>87</v>
      </c>
      <c r="AD3" s="320" t="s">
        <v>89</v>
      </c>
      <c r="AE3" s="320" t="s">
        <v>90</v>
      </c>
      <c r="AF3" s="322" t="s">
        <v>87</v>
      </c>
      <c r="AG3" s="320" t="s">
        <v>89</v>
      </c>
      <c r="AH3" s="320" t="s">
        <v>90</v>
      </c>
      <c r="AI3" s="322" t="s">
        <v>87</v>
      </c>
      <c r="AL3" s="320" t="s">
        <v>89</v>
      </c>
      <c r="AM3" s="320" t="s">
        <v>90</v>
      </c>
      <c r="AN3" s="322" t="s">
        <v>87</v>
      </c>
    </row>
    <row r="4" spans="1:40" ht="21" customHeight="1" thickBot="1">
      <c r="A4" s="131"/>
      <c r="B4" s="132" t="s">
        <v>20</v>
      </c>
      <c r="C4" s="321"/>
      <c r="D4" s="321"/>
      <c r="E4" s="323"/>
      <c r="F4" s="331"/>
      <c r="G4" s="333"/>
      <c r="H4" s="329"/>
      <c r="I4" s="321"/>
      <c r="J4" s="321"/>
      <c r="K4" s="323"/>
      <c r="L4" s="321"/>
      <c r="M4" s="321"/>
      <c r="N4" s="323"/>
      <c r="O4" s="321"/>
      <c r="P4" s="321"/>
      <c r="Q4" s="323"/>
      <c r="R4" s="321"/>
      <c r="S4" s="321"/>
      <c r="T4" s="323"/>
      <c r="U4" s="321"/>
      <c r="V4" s="321"/>
      <c r="W4" s="323"/>
      <c r="X4" s="321"/>
      <c r="Y4" s="321"/>
      <c r="Z4" s="323"/>
      <c r="AA4" s="321"/>
      <c r="AB4" s="321"/>
      <c r="AC4" s="323"/>
      <c r="AD4" s="321"/>
      <c r="AE4" s="321"/>
      <c r="AF4" s="323"/>
      <c r="AG4" s="321"/>
      <c r="AH4" s="321"/>
      <c r="AI4" s="323"/>
      <c r="AL4" s="321"/>
      <c r="AM4" s="321"/>
      <c r="AN4" s="323"/>
    </row>
    <row r="5" spans="1:40">
      <c r="A5" s="60">
        <f>NOMINA!A6</f>
        <v>1</v>
      </c>
      <c r="B5" s="129" t="str">
        <f>NOMINA!B6</f>
        <v>ABREU MARRERO LIZ DANIELA</v>
      </c>
      <c r="C5" s="60">
        <f>IF(LEN!C6=0," ",LEN!C6)</f>
        <v>54</v>
      </c>
      <c r="D5" s="60" t="str">
        <f>IF(LEN!D6=0," ",LEN!D6)</f>
        <v xml:space="preserve"> </v>
      </c>
      <c r="E5" s="130" t="str">
        <f>IF(LEN!E6=0," ",LEN!E6)</f>
        <v xml:space="preserve"> </v>
      </c>
      <c r="F5" s="60">
        <f>IF(ING!C6=0," ",ING!C6)</f>
        <v>60</v>
      </c>
      <c r="G5" s="60" t="str">
        <f>IF(ING!D6=0," ",ING!D6)</f>
        <v xml:space="preserve"> </v>
      </c>
      <c r="H5" s="130" t="str">
        <f>IF(ING!E6=0," ",ING!E6)</f>
        <v xml:space="preserve"> </v>
      </c>
      <c r="I5" s="60">
        <f>IF('C.SOC'!C6=0," ",'C.SOC'!C6)</f>
        <v>73</v>
      </c>
      <c r="J5" s="60" t="str">
        <f>IF('C.SOC'!D6=0," ",'C.SOC'!D6)</f>
        <v xml:space="preserve"> </v>
      </c>
      <c r="K5" s="130" t="str">
        <f>IF('C.SOC'!E6=0," ",'C.SOC'!E6)</f>
        <v xml:space="preserve"> </v>
      </c>
      <c r="L5" s="60">
        <f>IF('E. FIS.'!C6=0," ",'E. FIS.'!C6)</f>
        <v>70</v>
      </c>
      <c r="M5" s="60" t="str">
        <f>IF('E. FIS.'!D6=0," ",'E. FIS.'!D6)</f>
        <v xml:space="preserve"> </v>
      </c>
      <c r="N5" s="130" t="str">
        <f>IF('E. FIS.'!E6=0," ",'E. FIS.'!E6)</f>
        <v xml:space="preserve"> </v>
      </c>
      <c r="O5" s="60">
        <f>IF(MUS.!C6=0," ",MUS.!C6)</f>
        <v>94</v>
      </c>
      <c r="P5" s="60" t="str">
        <f>IF(MUS.!D6=0," ",MUS.!D6)</f>
        <v xml:space="preserve"> </v>
      </c>
      <c r="Q5" s="130" t="str">
        <f>IF(MUS.!E6=0," ",MUS.!E6)</f>
        <v xml:space="preserve"> </v>
      </c>
      <c r="R5" s="51">
        <f>IF('A.PL. '!C6=0," ",'A.PL. '!C6)</f>
        <v>71</v>
      </c>
      <c r="S5" s="60" t="str">
        <f>IF('A.PL. '!D6=0," ",'A.PL. '!D6)</f>
        <v xml:space="preserve"> </v>
      </c>
      <c r="T5" s="130" t="str">
        <f>IF('A.PL. '!E6=0," ",'A.PL. '!E6)</f>
        <v xml:space="preserve"> </v>
      </c>
      <c r="U5" s="51">
        <f>IF(MAT!C6=0," ",MAT!C6)</f>
        <v>64</v>
      </c>
      <c r="V5" s="60" t="str">
        <f>IF(MAT!D6=0," ",MAT!D6)</f>
        <v xml:space="preserve"> </v>
      </c>
      <c r="W5" s="130" t="str">
        <f>IF(MAT!E6=0," ",MAT!E6)</f>
        <v xml:space="preserve"> </v>
      </c>
      <c r="X5" s="51">
        <f>IF('T. TEC. GRAL'!C6=0," ",'T. TEC. GRAL'!C6)</f>
        <v>66</v>
      </c>
      <c r="Y5" s="60" t="str">
        <f>IF('T. TEC. GRAL'!D6=0," ",'T. TEC. GRAL'!D6)</f>
        <v xml:space="preserve"> </v>
      </c>
      <c r="Z5" s="130" t="str">
        <f>IF('T. TEC. GRAL'!E6=0," ",'T. TEC. GRAL'!E6)</f>
        <v xml:space="preserve"> </v>
      </c>
      <c r="AA5" s="51">
        <f>IF('BIO-GEO'!C6=0," ",'BIO-GEO'!C6)</f>
        <v>77</v>
      </c>
      <c r="AB5" s="60" t="str">
        <f>IF('BIO-GEO'!D6=0," ",'BIO-GEO'!D6)</f>
        <v xml:space="preserve"> </v>
      </c>
      <c r="AC5" s="130" t="str">
        <f>IF('BIO-GEO'!E6=0," ",'BIO-GEO'!E6)</f>
        <v xml:space="preserve"> </v>
      </c>
      <c r="AD5" s="148">
        <f>IF(PSI!C6=0," ",PSI!C6)</f>
        <v>74</v>
      </c>
      <c r="AE5" s="60" t="str">
        <f>IF(PSI!D6=0," ",PSI!D6)</f>
        <v xml:space="preserve"> </v>
      </c>
      <c r="AF5" s="130" t="str">
        <f>IF(PSI!E6=0," ",PSI!E6)</f>
        <v xml:space="preserve"> </v>
      </c>
      <c r="AG5" s="51">
        <f>IF('REL.'!C6=0," ",'REL.'!C6)</f>
        <v>64.666666666666671</v>
      </c>
      <c r="AH5" s="60" t="str">
        <f>IF('REL.'!D6=0," ",'REL.'!D6)</f>
        <v xml:space="preserve"> </v>
      </c>
      <c r="AI5" s="130" t="str">
        <f>IF('REL.'!E6=0," ",'REL.'!E6)</f>
        <v xml:space="preserve"> </v>
      </c>
      <c r="AL5" s="239">
        <f>IFERROR(AVERAGE(C5,F5,I5,L5,O5,R5,U5,X5,AA5,AD5,AG5),0)</f>
        <v>69.787878787878782</v>
      </c>
      <c r="AM5" s="239">
        <f>IFERROR(AVERAGE(D5,G5,J5,M5,P5,S5,V5,Y5,AB5,AE5,AH5),0)</f>
        <v>0</v>
      </c>
      <c r="AN5" s="239">
        <f>IFERROR(AVERAGE(E5,H5,K5,N5,Q5,T5,W5,Z5,AC5,AF5,AI5),0)</f>
        <v>0</v>
      </c>
    </row>
    <row r="6" spans="1:40">
      <c r="A6" s="60">
        <f>NOMINA!A7</f>
        <v>2</v>
      </c>
      <c r="B6" s="129" t="str">
        <f>NOMINA!B7</f>
        <v>ALIAGA SAAVEDRA MARCU MAURICIO</v>
      </c>
      <c r="C6" s="48">
        <f>IF(LEN!C7=0," ",LEN!C7)</f>
        <v>53</v>
      </c>
      <c r="D6" s="104" t="str">
        <f>IF(LEN!D7=0," ",LEN!D7)</f>
        <v xml:space="preserve"> </v>
      </c>
      <c r="E6" s="95" t="str">
        <f>IF(LEN!E7=0," ",LEN!E7)</f>
        <v xml:space="preserve"> </v>
      </c>
      <c r="F6" s="48">
        <f>IF(ING!C7=0," ",ING!C7)</f>
        <v>66</v>
      </c>
      <c r="G6" s="48" t="str">
        <f>IF(ING!D7=0," ",ING!D7)</f>
        <v xml:space="preserve"> </v>
      </c>
      <c r="H6" s="95" t="str">
        <f>IF(ING!E7=0," ",ING!E7)</f>
        <v xml:space="preserve"> </v>
      </c>
      <c r="I6" s="48">
        <f>IF('C.SOC'!C7=0," ",'C.SOC'!C7)</f>
        <v>58</v>
      </c>
      <c r="J6" s="48" t="str">
        <f>IF('C.SOC'!D7=0," ",'C.SOC'!D7)</f>
        <v xml:space="preserve"> </v>
      </c>
      <c r="K6" s="95" t="str">
        <f>IF('C.SOC'!E7=0," ",'C.SOC'!E7)</f>
        <v xml:space="preserve"> </v>
      </c>
      <c r="L6" s="48">
        <f>IF('E. FIS.'!C7=0," ",'E. FIS.'!C7)</f>
        <v>54</v>
      </c>
      <c r="M6" s="48" t="str">
        <f>IF('E. FIS.'!D7=0," ",'E. FIS.'!D7)</f>
        <v xml:space="preserve"> </v>
      </c>
      <c r="N6" s="95" t="str">
        <f>IF('E. FIS.'!E7=0," ",'E. FIS.'!E7)</f>
        <v xml:space="preserve"> </v>
      </c>
      <c r="O6" s="48">
        <f>IF(MUS.!C7=0," ",MUS.!C7)</f>
        <v>87</v>
      </c>
      <c r="P6" s="48" t="str">
        <f>IF(MUS.!D7=0," ",MUS.!D7)</f>
        <v xml:space="preserve"> </v>
      </c>
      <c r="Q6" s="95" t="str">
        <f>IF(MUS.!E7=0," ",MUS.!E7)</f>
        <v xml:space="preserve"> </v>
      </c>
      <c r="R6" s="96">
        <f>IF('A.PL. '!C7=0," ",'A.PL. '!C7)</f>
        <v>55</v>
      </c>
      <c r="S6" s="48" t="str">
        <f>IF('A.PL. '!D7=0," ",'A.PL. '!D7)</f>
        <v xml:space="preserve"> </v>
      </c>
      <c r="T6" s="95" t="str">
        <f>IF('A.PL. '!E7=0," ",'A.PL. '!E7)</f>
        <v xml:space="preserve"> </v>
      </c>
      <c r="U6" s="96">
        <f>IF(MAT!C7=0," ",MAT!C7)</f>
        <v>59</v>
      </c>
      <c r="V6" s="48" t="str">
        <f>IF(MAT!D7=0," ",MAT!D7)</f>
        <v xml:space="preserve"> </v>
      </c>
      <c r="W6" s="95" t="str">
        <f>IF(MAT!E7=0," ",MAT!E7)</f>
        <v xml:space="preserve"> </v>
      </c>
      <c r="X6" s="96">
        <f>IF('T. TEC. GRAL'!C7=0," ",'T. TEC. GRAL'!C7)</f>
        <v>63</v>
      </c>
      <c r="Y6" s="48" t="str">
        <f>IF('T. TEC. GRAL'!D7=0," ",'T. TEC. GRAL'!D7)</f>
        <v xml:space="preserve"> </v>
      </c>
      <c r="Z6" s="95" t="str">
        <f>IF('T. TEC. GRAL'!E7=0," ",'T. TEC. GRAL'!E7)</f>
        <v xml:space="preserve"> </v>
      </c>
      <c r="AA6" s="96">
        <f>IF('BIO-GEO'!C7=0," ",'BIO-GEO'!C7)</f>
        <v>74</v>
      </c>
      <c r="AB6" s="48" t="str">
        <f>IF('BIO-GEO'!D7=0," ",'BIO-GEO'!D7)</f>
        <v xml:space="preserve"> </v>
      </c>
      <c r="AC6" s="95" t="str">
        <f>IF('BIO-GEO'!E7=0," ",'BIO-GEO'!E7)</f>
        <v xml:space="preserve"> </v>
      </c>
      <c r="AD6" s="92">
        <f>IF(PSI!C7=0," ",PSI!C7)</f>
        <v>80</v>
      </c>
      <c r="AE6" s="48" t="str">
        <f>IF(PSI!D7=0," ",PSI!D7)</f>
        <v xml:space="preserve"> </v>
      </c>
      <c r="AF6" s="95" t="str">
        <f>IF(PSI!E7=0," ",PSI!E7)</f>
        <v xml:space="preserve"> </v>
      </c>
      <c r="AG6" s="96">
        <f>IF('REL.'!C7=0," ",'REL.'!C7)</f>
        <v>62.416666666666671</v>
      </c>
      <c r="AH6" s="48" t="str">
        <f>IF('REL.'!D7=0," ",'REL.'!D7)</f>
        <v xml:space="preserve"> </v>
      </c>
      <c r="AI6" s="95" t="str">
        <f>IF('REL.'!E7=0," ",'REL.'!E7)</f>
        <v xml:space="preserve"> </v>
      </c>
      <c r="AL6" s="239">
        <f t="shared" ref="AL6:AL45" si="0">IFERROR(AVERAGE(C6,F6,I6,L6,O6,R6,U6,X6,AA6,AD6,AG6),0)</f>
        <v>64.674242424242422</v>
      </c>
      <c r="AM6" s="239">
        <f t="shared" ref="AM6:AM45" si="1">IFERROR(AVERAGE(D6,G6,J6,M6,P6,S6,V6,Y6,AB6,AE6,AH6),0)</f>
        <v>0</v>
      </c>
      <c r="AN6" s="239">
        <f t="shared" ref="AN6:AN45" si="2">IFERROR(AVERAGE(E6,H6,K6,N6,Q6,T6,W6,Z6,AC6,AF6,AI6),0)</f>
        <v>0</v>
      </c>
    </row>
    <row r="7" spans="1:40">
      <c r="A7" s="60">
        <f>NOMINA!A8</f>
        <v>3</v>
      </c>
      <c r="B7" s="129" t="str">
        <f>NOMINA!B8</f>
        <v>ANTEZANA CACHI JOSE MAXWEL</v>
      </c>
      <c r="C7" s="48">
        <f>IF(LEN!C8=0," ",LEN!C8)</f>
        <v>65</v>
      </c>
      <c r="D7" s="48" t="str">
        <f>IF(LEN!D8=0," ",LEN!D8)</f>
        <v xml:space="preserve"> </v>
      </c>
      <c r="E7" s="95" t="str">
        <f>IF(LEN!E8=0," ",LEN!E8)</f>
        <v xml:space="preserve"> </v>
      </c>
      <c r="F7" s="48">
        <f>IF(ING!C8=0," ",ING!C8)</f>
        <v>81</v>
      </c>
      <c r="G7" s="48" t="str">
        <f>IF(ING!D8=0," ",ING!D8)</f>
        <v xml:space="preserve"> </v>
      </c>
      <c r="H7" s="95" t="str">
        <f>IF(ING!E8=0," ",ING!E8)</f>
        <v xml:space="preserve"> </v>
      </c>
      <c r="I7" s="48">
        <f>IF('C.SOC'!C8=0," ",'C.SOC'!C8)</f>
        <v>74</v>
      </c>
      <c r="J7" s="48" t="str">
        <f>IF('C.SOC'!D8=0," ",'C.SOC'!D8)</f>
        <v xml:space="preserve"> </v>
      </c>
      <c r="K7" s="95" t="str">
        <f>IF('C.SOC'!E8=0," ",'C.SOC'!E8)</f>
        <v xml:space="preserve"> </v>
      </c>
      <c r="L7" s="48">
        <f>IF('E. FIS.'!C8=0," ",'E. FIS.'!C8)</f>
        <v>63</v>
      </c>
      <c r="M7" s="48" t="str">
        <f>IF('E. FIS.'!D8=0," ",'E. FIS.'!D8)</f>
        <v xml:space="preserve"> </v>
      </c>
      <c r="N7" s="95" t="str">
        <f>IF('E. FIS.'!E8=0," ",'E. FIS.'!E8)</f>
        <v xml:space="preserve"> </v>
      </c>
      <c r="O7" s="48">
        <f>IF(MUS.!C8=0," ",MUS.!C8)</f>
        <v>96</v>
      </c>
      <c r="P7" s="48" t="str">
        <f>IF(MUS.!D8=0," ",MUS.!D8)</f>
        <v xml:space="preserve"> </v>
      </c>
      <c r="Q7" s="95" t="str">
        <f>IF(MUS.!E8=0," ",MUS.!E8)</f>
        <v xml:space="preserve"> </v>
      </c>
      <c r="R7" s="96">
        <f>IF('A.PL. '!C8=0," ",'A.PL. '!C8)</f>
        <v>59</v>
      </c>
      <c r="S7" s="48" t="str">
        <f>IF('A.PL. '!D8=0," ",'A.PL. '!D8)</f>
        <v xml:space="preserve"> </v>
      </c>
      <c r="T7" s="95" t="str">
        <f>IF('A.PL. '!E8=0," ",'A.PL. '!E8)</f>
        <v xml:space="preserve"> </v>
      </c>
      <c r="U7" s="96">
        <f>IF(MAT!C8=0," ",MAT!C8)</f>
        <v>91</v>
      </c>
      <c r="V7" s="48" t="str">
        <f>IF(MAT!D8=0," ",MAT!D8)</f>
        <v xml:space="preserve"> </v>
      </c>
      <c r="W7" s="95" t="str">
        <f>IF(MAT!E8=0," ",MAT!E8)</f>
        <v xml:space="preserve"> </v>
      </c>
      <c r="X7" s="96">
        <f>IF('T. TEC. GRAL'!C8=0," ",'T. TEC. GRAL'!C8)</f>
        <v>65</v>
      </c>
      <c r="Y7" s="48" t="str">
        <f>IF('T. TEC. GRAL'!D8=0," ",'T. TEC. GRAL'!D8)</f>
        <v xml:space="preserve"> </v>
      </c>
      <c r="Z7" s="95" t="str">
        <f>IF('T. TEC. GRAL'!E8=0," ",'T. TEC. GRAL'!E8)</f>
        <v xml:space="preserve"> </v>
      </c>
      <c r="AA7" s="96">
        <f>IF('BIO-GEO'!C8=0," ",'BIO-GEO'!C8)</f>
        <v>75</v>
      </c>
      <c r="AB7" s="48" t="str">
        <f>IF('BIO-GEO'!D8=0," ",'BIO-GEO'!D8)</f>
        <v xml:space="preserve"> </v>
      </c>
      <c r="AC7" s="95" t="str">
        <f>IF('BIO-GEO'!E8=0," ",'BIO-GEO'!E8)</f>
        <v xml:space="preserve"> </v>
      </c>
      <c r="AD7" s="92">
        <f>IF(PSI!C8=0," ",PSI!C8)</f>
        <v>85</v>
      </c>
      <c r="AE7" s="48" t="str">
        <f>IF(PSI!D8=0," ",PSI!D8)</f>
        <v xml:space="preserve"> </v>
      </c>
      <c r="AF7" s="95" t="str">
        <f>IF(PSI!E8=0," ",PSI!E8)</f>
        <v xml:space="preserve"> </v>
      </c>
      <c r="AG7" s="96">
        <f>IF('REL.'!C8=0," ",'REL.'!C8)</f>
        <v>70.333333333333343</v>
      </c>
      <c r="AH7" s="48" t="str">
        <f>IF('REL.'!D8=0," ",'REL.'!D8)</f>
        <v xml:space="preserve"> </v>
      </c>
      <c r="AI7" s="95" t="str">
        <f>IF('REL.'!E8=0," ",'REL.'!E8)</f>
        <v xml:space="preserve"> </v>
      </c>
      <c r="AL7" s="239">
        <f t="shared" si="0"/>
        <v>74.939393939393938</v>
      </c>
      <c r="AM7" s="239">
        <f t="shared" si="1"/>
        <v>0</v>
      </c>
      <c r="AN7" s="239">
        <f t="shared" si="2"/>
        <v>0</v>
      </c>
    </row>
    <row r="8" spans="1:40">
      <c r="A8" s="60">
        <f>NOMINA!A9</f>
        <v>4</v>
      </c>
      <c r="B8" s="129" t="str">
        <f>NOMINA!B9</f>
        <v>ARIZACA SALGUERO SANTIAGO</v>
      </c>
      <c r="C8" s="48">
        <f>IF(LEN!C9=0," ",LEN!C9)</f>
        <v>46</v>
      </c>
      <c r="D8" s="48" t="str">
        <f>IF(LEN!D9=0," ",LEN!D9)</f>
        <v xml:space="preserve"> </v>
      </c>
      <c r="E8" s="95" t="str">
        <f>IF(LEN!E9=0," ",LEN!E9)</f>
        <v xml:space="preserve"> </v>
      </c>
      <c r="F8" s="48">
        <f>IF(ING!C9=0," ",ING!C9)</f>
        <v>48</v>
      </c>
      <c r="G8" s="48" t="str">
        <f>IF(ING!D9=0," ",ING!D9)</f>
        <v xml:space="preserve"> </v>
      </c>
      <c r="H8" s="95" t="str">
        <f>IF(ING!E9=0," ",ING!E9)</f>
        <v xml:space="preserve"> </v>
      </c>
      <c r="I8" s="48">
        <f>IF('C.SOC'!C9=0," ",'C.SOC'!C9)</f>
        <v>63</v>
      </c>
      <c r="J8" s="48" t="str">
        <f>IF('C.SOC'!D9=0," ",'C.SOC'!D9)</f>
        <v xml:space="preserve"> </v>
      </c>
      <c r="K8" s="95" t="str">
        <f>IF('C.SOC'!E9=0," ",'C.SOC'!E9)</f>
        <v xml:space="preserve"> </v>
      </c>
      <c r="L8" s="48">
        <f>IF('E. FIS.'!C9=0," ",'E. FIS.'!C9)</f>
        <v>76</v>
      </c>
      <c r="M8" s="48" t="str">
        <f>IF('E. FIS.'!D9=0," ",'E. FIS.'!D9)</f>
        <v xml:space="preserve"> </v>
      </c>
      <c r="N8" s="95" t="str">
        <f>IF('E. FIS.'!E9=0," ",'E. FIS.'!E9)</f>
        <v xml:space="preserve"> </v>
      </c>
      <c r="O8" s="48">
        <f>IF(MUS.!C9=0," ",MUS.!C9)</f>
        <v>70</v>
      </c>
      <c r="P8" s="48" t="str">
        <f>IF(MUS.!D9=0," ",MUS.!D9)</f>
        <v xml:space="preserve"> </v>
      </c>
      <c r="Q8" s="95" t="str">
        <f>IF(MUS.!E9=0," ",MUS.!E9)</f>
        <v xml:space="preserve"> </v>
      </c>
      <c r="R8" s="96">
        <f>IF('A.PL. '!C9=0," ",'A.PL. '!C9)</f>
        <v>63</v>
      </c>
      <c r="S8" s="48" t="str">
        <f>IF('A.PL. '!D9=0," ",'A.PL. '!D9)</f>
        <v xml:space="preserve"> </v>
      </c>
      <c r="T8" s="95" t="str">
        <f>IF('A.PL. '!E9=0," ",'A.PL. '!E9)</f>
        <v xml:space="preserve"> </v>
      </c>
      <c r="U8" s="96">
        <f>IF(MAT!C9=0," ",MAT!C9)</f>
        <v>61</v>
      </c>
      <c r="V8" s="48" t="str">
        <f>IF(MAT!D9=0," ",MAT!D9)</f>
        <v xml:space="preserve"> </v>
      </c>
      <c r="W8" s="95" t="str">
        <f>IF(MAT!E9=0," ",MAT!E9)</f>
        <v xml:space="preserve"> </v>
      </c>
      <c r="X8" s="96">
        <f>IF('T. TEC. GRAL'!C9=0," ",'T. TEC. GRAL'!C9)</f>
        <v>68</v>
      </c>
      <c r="Y8" s="48" t="str">
        <f>IF('T. TEC. GRAL'!D9=0," ",'T. TEC. GRAL'!D9)</f>
        <v xml:space="preserve"> </v>
      </c>
      <c r="Z8" s="95" t="str">
        <f>IF('T. TEC. GRAL'!E9=0," ",'T. TEC. GRAL'!E9)</f>
        <v xml:space="preserve"> </v>
      </c>
      <c r="AA8" s="96">
        <f>IF('BIO-GEO'!C9=0," ",'BIO-GEO'!C9)</f>
        <v>77</v>
      </c>
      <c r="AB8" s="48" t="str">
        <f>IF('BIO-GEO'!D9=0," ",'BIO-GEO'!D9)</f>
        <v xml:space="preserve"> </v>
      </c>
      <c r="AC8" s="95" t="str">
        <f>IF('BIO-GEO'!E9=0," ",'BIO-GEO'!E9)</f>
        <v xml:space="preserve"> </v>
      </c>
      <c r="AD8" s="92">
        <f>IF(PSI!C9=0," ",PSI!C9)</f>
        <v>51</v>
      </c>
      <c r="AE8" s="48" t="str">
        <f>IF(PSI!D9=0," ",PSI!D9)</f>
        <v xml:space="preserve"> </v>
      </c>
      <c r="AF8" s="95" t="str">
        <f>IF(PSI!E9=0," ",PSI!E9)</f>
        <v xml:space="preserve"> </v>
      </c>
      <c r="AG8" s="96">
        <f>IF('REL.'!C9=0," ",'REL.'!C9)</f>
        <v>51.75</v>
      </c>
      <c r="AH8" s="48" t="str">
        <f>IF('REL.'!D9=0," ",'REL.'!D9)</f>
        <v xml:space="preserve"> </v>
      </c>
      <c r="AI8" s="95" t="str">
        <f>IF('REL.'!E9=0," ",'REL.'!E9)</f>
        <v xml:space="preserve"> </v>
      </c>
      <c r="AL8" s="239">
        <f t="shared" si="0"/>
        <v>61.340909090909093</v>
      </c>
      <c r="AM8" s="239">
        <f t="shared" si="1"/>
        <v>0</v>
      </c>
      <c r="AN8" s="239">
        <f t="shared" si="2"/>
        <v>0</v>
      </c>
    </row>
    <row r="9" spans="1:40">
      <c r="A9" s="60">
        <f>NOMINA!A10</f>
        <v>5</v>
      </c>
      <c r="B9" s="129" t="str">
        <f>NOMINA!B10</f>
        <v>BAUTISTA GARCIA ALISON LUCIANA</v>
      </c>
      <c r="C9" s="48">
        <f>IF(LEN!C10=0," ",LEN!C10)</f>
        <v>52</v>
      </c>
      <c r="D9" s="48" t="str">
        <f>IF(LEN!D10=0," ",LEN!D10)</f>
        <v xml:space="preserve"> </v>
      </c>
      <c r="E9" s="95" t="str">
        <f>IF(LEN!E10=0," ",LEN!E10)</f>
        <v xml:space="preserve"> </v>
      </c>
      <c r="F9" s="48">
        <f>IF(ING!C10=0," ",ING!C10)</f>
        <v>57</v>
      </c>
      <c r="G9" s="48" t="str">
        <f>IF(ING!D10=0," ",ING!D10)</f>
        <v xml:space="preserve"> </v>
      </c>
      <c r="H9" s="95" t="str">
        <f>IF(ING!E10=0," ",ING!E10)</f>
        <v xml:space="preserve"> </v>
      </c>
      <c r="I9" s="48">
        <f>IF('C.SOC'!C10=0," ",'C.SOC'!C10)</f>
        <v>51</v>
      </c>
      <c r="J9" s="48" t="str">
        <f>IF('C.SOC'!D10=0," ",'C.SOC'!D10)</f>
        <v xml:space="preserve"> </v>
      </c>
      <c r="K9" s="95" t="str">
        <f>IF('C.SOC'!E10=0," ",'C.SOC'!E10)</f>
        <v xml:space="preserve"> </v>
      </c>
      <c r="L9" s="48">
        <f>IF('E. FIS.'!C10=0," ",'E. FIS.'!C10)</f>
        <v>67</v>
      </c>
      <c r="M9" s="48" t="str">
        <f>IF('E. FIS.'!D10=0," ",'E. FIS.'!D10)</f>
        <v xml:space="preserve"> </v>
      </c>
      <c r="N9" s="95" t="str">
        <f>IF('E. FIS.'!E10=0," ",'E. FIS.'!E10)</f>
        <v xml:space="preserve"> </v>
      </c>
      <c r="O9" s="48">
        <f>IF(MUS.!C10=0," ",MUS.!C10)</f>
        <v>76</v>
      </c>
      <c r="P9" s="48" t="str">
        <f>IF(MUS.!D10=0," ",MUS.!D10)</f>
        <v xml:space="preserve"> </v>
      </c>
      <c r="Q9" s="95" t="str">
        <f>IF(MUS.!E10=0," ",MUS.!E10)</f>
        <v xml:space="preserve"> </v>
      </c>
      <c r="R9" s="96">
        <f>IF('A.PL. '!C10=0," ",'A.PL. '!C10)</f>
        <v>71</v>
      </c>
      <c r="S9" s="48" t="str">
        <f>IF('A.PL. '!D10=0," ",'A.PL. '!D10)</f>
        <v xml:space="preserve"> </v>
      </c>
      <c r="T9" s="95" t="str">
        <f>IF('A.PL. '!E10=0," ",'A.PL. '!E10)</f>
        <v xml:space="preserve"> </v>
      </c>
      <c r="U9" s="96">
        <f>IF(MAT!C10=0," ",MAT!C10)</f>
        <v>58</v>
      </c>
      <c r="V9" s="48" t="str">
        <f>IF(MAT!D10=0," ",MAT!D10)</f>
        <v xml:space="preserve"> </v>
      </c>
      <c r="W9" s="95" t="str">
        <f>IF(MAT!E10=0," ",MAT!E10)</f>
        <v xml:space="preserve"> </v>
      </c>
      <c r="X9" s="96">
        <f>IF('T. TEC. GRAL'!C10=0," ",'T. TEC. GRAL'!C10)</f>
        <v>71</v>
      </c>
      <c r="Y9" s="48" t="str">
        <f>IF('T. TEC. GRAL'!D10=0," ",'T. TEC. GRAL'!D10)</f>
        <v xml:space="preserve"> </v>
      </c>
      <c r="Z9" s="95" t="str">
        <f>IF('T. TEC. GRAL'!E10=0," ",'T. TEC. GRAL'!E10)</f>
        <v xml:space="preserve"> </v>
      </c>
      <c r="AA9" s="96">
        <f>IF('BIO-GEO'!C10=0," ",'BIO-GEO'!C10)</f>
        <v>70</v>
      </c>
      <c r="AB9" s="48" t="str">
        <f>IF('BIO-GEO'!D10=0," ",'BIO-GEO'!D10)</f>
        <v xml:space="preserve"> </v>
      </c>
      <c r="AC9" s="95" t="str">
        <f>IF('BIO-GEO'!E10=0," ",'BIO-GEO'!E10)</f>
        <v xml:space="preserve"> </v>
      </c>
      <c r="AD9" s="92">
        <f>IF(PSI!C10=0," ",PSI!C10)</f>
        <v>66</v>
      </c>
      <c r="AE9" s="48" t="str">
        <f>IF(PSI!D10=0," ",PSI!D10)</f>
        <v xml:space="preserve"> </v>
      </c>
      <c r="AF9" s="95" t="str">
        <f>IF(PSI!E10=0," ",PSI!E10)</f>
        <v xml:space="preserve"> </v>
      </c>
      <c r="AG9" s="96">
        <f>IF('REL.'!C10=0," ",'REL.'!C10)</f>
        <v>78.833333333333343</v>
      </c>
      <c r="AH9" s="48" t="str">
        <f>IF('REL.'!D10=0," ",'REL.'!D10)</f>
        <v xml:space="preserve"> </v>
      </c>
      <c r="AI9" s="95" t="str">
        <f>IF('REL.'!E10=0," ",'REL.'!E10)</f>
        <v xml:space="preserve"> </v>
      </c>
      <c r="AL9" s="239">
        <f t="shared" si="0"/>
        <v>65.257575757575765</v>
      </c>
      <c r="AM9" s="239">
        <f t="shared" si="1"/>
        <v>0</v>
      </c>
      <c r="AN9" s="239">
        <f t="shared" si="2"/>
        <v>0</v>
      </c>
    </row>
    <row r="10" spans="1:40">
      <c r="A10" s="60">
        <f>NOMINA!A11</f>
        <v>6</v>
      </c>
      <c r="B10" s="129" t="str">
        <f>NOMINA!B11</f>
        <v>BOLIVAR REVOLLO NIVARDO ADOLFO</v>
      </c>
      <c r="C10" s="48">
        <f>IF(LEN!C11=0," ",LEN!C11)</f>
        <v>51</v>
      </c>
      <c r="D10" s="48" t="str">
        <f>IF(LEN!D11=0," ",LEN!D11)</f>
        <v xml:space="preserve"> </v>
      </c>
      <c r="E10" s="95" t="str">
        <f>IF(LEN!E11=0," ",LEN!E11)</f>
        <v xml:space="preserve"> </v>
      </c>
      <c r="F10" s="48">
        <f>IF(ING!C11=0," ",ING!C11)</f>
        <v>63</v>
      </c>
      <c r="G10" s="48" t="str">
        <f>IF(ING!D11=0," ",ING!D11)</f>
        <v xml:space="preserve"> </v>
      </c>
      <c r="H10" s="95" t="str">
        <f>IF(ING!E11=0," ",ING!E11)</f>
        <v xml:space="preserve"> </v>
      </c>
      <c r="I10" s="48">
        <f>IF('C.SOC'!C11=0," ",'C.SOC'!C11)</f>
        <v>43</v>
      </c>
      <c r="J10" s="48" t="str">
        <f>IF('C.SOC'!D11=0," ",'C.SOC'!D11)</f>
        <v xml:space="preserve"> </v>
      </c>
      <c r="K10" s="95" t="str">
        <f>IF('C.SOC'!E11=0," ",'C.SOC'!E11)</f>
        <v xml:space="preserve"> </v>
      </c>
      <c r="L10" s="48">
        <f>IF('E. FIS.'!C11=0," ",'E. FIS.'!C11)</f>
        <v>59</v>
      </c>
      <c r="M10" s="48" t="str">
        <f>IF('E. FIS.'!D11=0," ",'E. FIS.'!D11)</f>
        <v xml:space="preserve"> </v>
      </c>
      <c r="N10" s="95" t="str">
        <f>IF('E. FIS.'!E11=0," ",'E. FIS.'!E11)</f>
        <v xml:space="preserve"> </v>
      </c>
      <c r="O10" s="48">
        <f>IF(MUS.!C11=0," ",MUS.!C11)</f>
        <v>72</v>
      </c>
      <c r="P10" s="48" t="str">
        <f>IF(MUS.!D11=0," ",MUS.!D11)</f>
        <v xml:space="preserve"> </v>
      </c>
      <c r="Q10" s="95" t="str">
        <f>IF(MUS.!E11=0," ",MUS.!E11)</f>
        <v xml:space="preserve"> </v>
      </c>
      <c r="R10" s="96">
        <f>IF('A.PL. '!C11=0," ",'A.PL. '!C11)</f>
        <v>53</v>
      </c>
      <c r="S10" s="48" t="str">
        <f>IF('A.PL. '!D11=0," ",'A.PL. '!D11)</f>
        <v xml:space="preserve"> </v>
      </c>
      <c r="T10" s="95" t="str">
        <f>IF('A.PL. '!E11=0," ",'A.PL. '!E11)</f>
        <v xml:space="preserve"> </v>
      </c>
      <c r="U10" s="96">
        <f>IF(MAT!C11=0," ",MAT!C11)</f>
        <v>46</v>
      </c>
      <c r="V10" s="48" t="str">
        <f>IF(MAT!D11=0," ",MAT!D11)</f>
        <v xml:space="preserve"> </v>
      </c>
      <c r="W10" s="95" t="str">
        <f>IF(MAT!E11=0," ",MAT!E11)</f>
        <v xml:space="preserve"> </v>
      </c>
      <c r="X10" s="96">
        <f>IF('T. TEC. GRAL'!C11=0," ",'T. TEC. GRAL'!C11)</f>
        <v>66</v>
      </c>
      <c r="Y10" s="48" t="str">
        <f>IF('T. TEC. GRAL'!D11=0," ",'T. TEC. GRAL'!D11)</f>
        <v xml:space="preserve"> </v>
      </c>
      <c r="Z10" s="95" t="str">
        <f>IF('T. TEC. GRAL'!E11=0," ",'T. TEC. GRAL'!E11)</f>
        <v xml:space="preserve"> </v>
      </c>
      <c r="AA10" s="96">
        <f>IF('BIO-GEO'!C11=0," ",'BIO-GEO'!C11)</f>
        <v>61</v>
      </c>
      <c r="AB10" s="48" t="str">
        <f>IF('BIO-GEO'!D11=0," ",'BIO-GEO'!D11)</f>
        <v xml:space="preserve"> </v>
      </c>
      <c r="AC10" s="95" t="str">
        <f>IF('BIO-GEO'!E11=0," ",'BIO-GEO'!E11)</f>
        <v xml:space="preserve"> </v>
      </c>
      <c r="AD10" s="92">
        <f>IF(PSI!C11=0," ",PSI!C11)</f>
        <v>64</v>
      </c>
      <c r="AE10" s="48" t="str">
        <f>IF(PSI!D11=0," ",PSI!D11)</f>
        <v xml:space="preserve"> </v>
      </c>
      <c r="AF10" s="95" t="str">
        <f>IF(PSI!E11=0," ",PSI!E11)</f>
        <v xml:space="preserve"> </v>
      </c>
      <c r="AG10" s="96">
        <f>IF('REL.'!C11=0," ",'REL.'!C11)</f>
        <v>77.166666666666671</v>
      </c>
      <c r="AH10" s="48" t="str">
        <f>IF('REL.'!D11=0," ",'REL.'!D11)</f>
        <v xml:space="preserve"> </v>
      </c>
      <c r="AI10" s="95" t="str">
        <f>IF('REL.'!E11=0," ",'REL.'!E11)</f>
        <v xml:space="preserve"> </v>
      </c>
      <c r="AL10" s="239">
        <f t="shared" si="0"/>
        <v>59.560606060606055</v>
      </c>
      <c r="AM10" s="239">
        <f t="shared" si="1"/>
        <v>0</v>
      </c>
      <c r="AN10" s="239">
        <f t="shared" si="2"/>
        <v>0</v>
      </c>
    </row>
    <row r="11" spans="1:40">
      <c r="A11" s="60">
        <f>NOMINA!A12</f>
        <v>7</v>
      </c>
      <c r="B11" s="129" t="str">
        <f>NOMINA!B12</f>
        <v>CADIMA SOLIZ NICOLAS</v>
      </c>
      <c r="C11" s="48">
        <f>IF(LEN!C12=0," ",LEN!C12)</f>
        <v>46</v>
      </c>
      <c r="D11" s="48" t="str">
        <f>IF(LEN!D12=0," ",LEN!D12)</f>
        <v xml:space="preserve"> </v>
      </c>
      <c r="E11" s="95" t="str">
        <f>IF(LEN!E12=0," ",LEN!E12)</f>
        <v xml:space="preserve"> </v>
      </c>
      <c r="F11" s="48">
        <f>IF(ING!C12=0," ",ING!C12)</f>
        <v>47</v>
      </c>
      <c r="G11" s="48" t="str">
        <f>IF(ING!D12=0," ",ING!D12)</f>
        <v xml:space="preserve"> </v>
      </c>
      <c r="H11" s="95" t="str">
        <f>IF(ING!E12=0," ",ING!E12)</f>
        <v xml:space="preserve"> </v>
      </c>
      <c r="I11" s="48">
        <f>IF('C.SOC'!C12=0," ",'C.SOC'!C12)</f>
        <v>40</v>
      </c>
      <c r="J11" s="48" t="str">
        <f>IF('C.SOC'!D12=0," ",'C.SOC'!D12)</f>
        <v xml:space="preserve"> </v>
      </c>
      <c r="K11" s="95" t="str">
        <f>IF('C.SOC'!E12=0," ",'C.SOC'!E12)</f>
        <v xml:space="preserve"> </v>
      </c>
      <c r="L11" s="48">
        <f>IF('E. FIS.'!C12=0," ",'E. FIS.'!C12)</f>
        <v>69</v>
      </c>
      <c r="M11" s="48" t="str">
        <f>IF('E. FIS.'!D12=0," ",'E. FIS.'!D12)</f>
        <v xml:space="preserve"> </v>
      </c>
      <c r="N11" s="95" t="str">
        <f>IF('E. FIS.'!E12=0," ",'E. FIS.'!E12)</f>
        <v xml:space="preserve"> </v>
      </c>
      <c r="O11" s="48">
        <f>IF(MUS.!C12=0," ",MUS.!C12)</f>
        <v>66</v>
      </c>
      <c r="P11" s="48" t="str">
        <f>IF(MUS.!D12=0," ",MUS.!D12)</f>
        <v xml:space="preserve"> </v>
      </c>
      <c r="Q11" s="95" t="str">
        <f>IF(MUS.!E12=0," ",MUS.!E12)</f>
        <v xml:space="preserve"> </v>
      </c>
      <c r="R11" s="96">
        <f>IF('A.PL. '!C12=0," ",'A.PL. '!C12)</f>
        <v>59</v>
      </c>
      <c r="S11" s="48" t="str">
        <f>IF('A.PL. '!D12=0," ",'A.PL. '!D12)</f>
        <v xml:space="preserve"> </v>
      </c>
      <c r="T11" s="95" t="str">
        <f>IF('A.PL. '!E12=0," ",'A.PL. '!E12)</f>
        <v xml:space="preserve"> </v>
      </c>
      <c r="U11" s="96">
        <f>IF(MAT!C12=0," ",MAT!C12)</f>
        <v>46</v>
      </c>
      <c r="V11" s="48" t="str">
        <f>IF(MAT!D12=0," ",MAT!D12)</f>
        <v xml:space="preserve"> </v>
      </c>
      <c r="W11" s="95" t="str">
        <f>IF(MAT!E12=0," ",MAT!E12)</f>
        <v xml:space="preserve"> </v>
      </c>
      <c r="X11" s="96">
        <f>IF('T. TEC. GRAL'!C12=0," ",'T. TEC. GRAL'!C12)</f>
        <v>57</v>
      </c>
      <c r="Y11" s="48" t="str">
        <f>IF('T. TEC. GRAL'!D12=0," ",'T. TEC. GRAL'!D12)</f>
        <v xml:space="preserve"> </v>
      </c>
      <c r="Z11" s="95" t="str">
        <f>IF('T. TEC. GRAL'!E12=0," ",'T. TEC. GRAL'!E12)</f>
        <v xml:space="preserve"> </v>
      </c>
      <c r="AA11" s="96">
        <f>IF('BIO-GEO'!C12=0," ",'BIO-GEO'!C12)</f>
        <v>67</v>
      </c>
      <c r="AB11" s="48" t="str">
        <f>IF('BIO-GEO'!D12=0," ",'BIO-GEO'!D12)</f>
        <v xml:space="preserve"> </v>
      </c>
      <c r="AC11" s="95" t="str">
        <f>IF('BIO-GEO'!E12=0," ",'BIO-GEO'!E12)</f>
        <v xml:space="preserve"> </v>
      </c>
      <c r="AD11" s="92">
        <f>IF(PSI!C12=0," ",PSI!C12)</f>
        <v>67</v>
      </c>
      <c r="AE11" s="48" t="str">
        <f>IF(PSI!D12=0," ",PSI!D12)</f>
        <v xml:space="preserve"> </v>
      </c>
      <c r="AF11" s="95" t="str">
        <f>IF(PSI!E12=0," ",PSI!E12)</f>
        <v xml:space="preserve"> </v>
      </c>
      <c r="AG11" s="96">
        <f>IF('REL.'!C12=0," ",'REL.'!C12)</f>
        <v>66.166666666666671</v>
      </c>
      <c r="AH11" s="48" t="str">
        <f>IF('REL.'!D12=0," ",'REL.'!D12)</f>
        <v xml:space="preserve"> </v>
      </c>
      <c r="AI11" s="95" t="str">
        <f>IF('REL.'!E12=0," ",'REL.'!E12)</f>
        <v xml:space="preserve"> </v>
      </c>
      <c r="AL11" s="239">
        <f t="shared" si="0"/>
        <v>57.287878787878782</v>
      </c>
      <c r="AM11" s="239">
        <f t="shared" si="1"/>
        <v>0</v>
      </c>
      <c r="AN11" s="239">
        <f t="shared" si="2"/>
        <v>0</v>
      </c>
    </row>
    <row r="12" spans="1:40">
      <c r="A12" s="60">
        <f>NOMINA!A13</f>
        <v>8</v>
      </c>
      <c r="B12" s="129" t="str">
        <f>NOMINA!B13</f>
        <v>CALLE PEREZ ANDREA BELEN</v>
      </c>
      <c r="C12" s="48">
        <f>IF(LEN!C13=0," ",LEN!C13)</f>
        <v>78</v>
      </c>
      <c r="D12" s="48" t="str">
        <f>IF(LEN!D13=0," ",LEN!D13)</f>
        <v xml:space="preserve"> </v>
      </c>
      <c r="E12" s="95" t="str">
        <f>IF(LEN!E13=0," ",LEN!E13)</f>
        <v xml:space="preserve"> </v>
      </c>
      <c r="F12" s="48">
        <f>IF(ING!C13=0," ",ING!C13)</f>
        <v>80</v>
      </c>
      <c r="G12" s="48" t="str">
        <f>IF(ING!D13=0," ",ING!D13)</f>
        <v xml:space="preserve"> </v>
      </c>
      <c r="H12" s="95" t="str">
        <f>IF(ING!E13=0," ",ING!E13)</f>
        <v xml:space="preserve"> </v>
      </c>
      <c r="I12" s="48">
        <f>IF('C.SOC'!C13=0," ",'C.SOC'!C13)</f>
        <v>75</v>
      </c>
      <c r="J12" s="48" t="str">
        <f>IF('C.SOC'!D13=0," ",'C.SOC'!D13)</f>
        <v xml:space="preserve"> </v>
      </c>
      <c r="K12" s="95" t="str">
        <f>IF('C.SOC'!E13=0," ",'C.SOC'!E13)</f>
        <v xml:space="preserve"> </v>
      </c>
      <c r="L12" s="48">
        <f>IF('E. FIS.'!C13=0," ",'E. FIS.'!C13)</f>
        <v>67</v>
      </c>
      <c r="M12" s="48" t="str">
        <f>IF('E. FIS.'!D13=0," ",'E. FIS.'!D13)</f>
        <v xml:space="preserve"> </v>
      </c>
      <c r="N12" s="95" t="str">
        <f>IF('E. FIS.'!E13=0," ",'E. FIS.'!E13)</f>
        <v xml:space="preserve"> </v>
      </c>
      <c r="O12" s="48">
        <f>IF(MUS.!C13=0," ",MUS.!C13)</f>
        <v>97</v>
      </c>
      <c r="P12" s="48" t="str">
        <f>IF(MUS.!D13=0," ",MUS.!D13)</f>
        <v xml:space="preserve"> </v>
      </c>
      <c r="Q12" s="95" t="str">
        <f>IF(MUS.!E13=0," ",MUS.!E13)</f>
        <v xml:space="preserve"> </v>
      </c>
      <c r="R12" s="96">
        <f>IF('A.PL. '!C13=0," ",'A.PL. '!C13)</f>
        <v>69</v>
      </c>
      <c r="S12" s="48" t="str">
        <f>IF('A.PL. '!D13=0," ",'A.PL. '!D13)</f>
        <v xml:space="preserve"> </v>
      </c>
      <c r="T12" s="95" t="str">
        <f>IF('A.PL. '!E13=0," ",'A.PL. '!E13)</f>
        <v xml:space="preserve"> </v>
      </c>
      <c r="U12" s="96">
        <f>IF(MAT!C13=0," ",MAT!C13)</f>
        <v>93</v>
      </c>
      <c r="V12" s="48" t="str">
        <f>IF(MAT!D13=0," ",MAT!D13)</f>
        <v xml:space="preserve"> </v>
      </c>
      <c r="W12" s="95" t="str">
        <f>IF(MAT!E13=0," ",MAT!E13)</f>
        <v xml:space="preserve"> </v>
      </c>
      <c r="X12" s="96">
        <f>IF('T. TEC. GRAL'!C13=0," ",'T. TEC. GRAL'!C13)</f>
        <v>79</v>
      </c>
      <c r="Y12" s="48" t="str">
        <f>IF('T. TEC. GRAL'!D13=0," ",'T. TEC. GRAL'!D13)</f>
        <v xml:space="preserve"> </v>
      </c>
      <c r="Z12" s="95" t="str">
        <f>IF('T. TEC. GRAL'!E13=0," ",'T. TEC. GRAL'!E13)</f>
        <v xml:space="preserve"> </v>
      </c>
      <c r="AA12" s="96">
        <f>IF('BIO-GEO'!C13=0," ",'BIO-GEO'!C13)</f>
        <v>83</v>
      </c>
      <c r="AB12" s="48" t="str">
        <f>IF('BIO-GEO'!D13=0," ",'BIO-GEO'!D13)</f>
        <v xml:space="preserve"> </v>
      </c>
      <c r="AC12" s="95" t="str">
        <f>IF('BIO-GEO'!E13=0," ",'BIO-GEO'!E13)</f>
        <v xml:space="preserve"> </v>
      </c>
      <c r="AD12" s="92">
        <f>IF(PSI!C13=0," ",PSI!C13)</f>
        <v>81</v>
      </c>
      <c r="AE12" s="48" t="str">
        <f>IF(PSI!D13=0," ",PSI!D13)</f>
        <v xml:space="preserve"> </v>
      </c>
      <c r="AF12" s="95" t="str">
        <f>IF(PSI!E13=0," ",PSI!E13)</f>
        <v xml:space="preserve"> </v>
      </c>
      <c r="AG12" s="96">
        <f>IF('REL.'!C13=0," ",'REL.'!C13)</f>
        <v>75.666666666666657</v>
      </c>
      <c r="AH12" s="48" t="str">
        <f>IF('REL.'!D13=0," ",'REL.'!D13)</f>
        <v xml:space="preserve"> </v>
      </c>
      <c r="AI12" s="95" t="str">
        <f>IF('REL.'!E13=0," ",'REL.'!E13)</f>
        <v xml:space="preserve"> </v>
      </c>
      <c r="AL12" s="239">
        <f t="shared" si="0"/>
        <v>79.787878787878782</v>
      </c>
      <c r="AM12" s="239">
        <f t="shared" si="1"/>
        <v>0</v>
      </c>
      <c r="AN12" s="239">
        <f t="shared" si="2"/>
        <v>0</v>
      </c>
    </row>
    <row r="13" spans="1:40">
      <c r="A13" s="60">
        <f>NOMINA!A14</f>
        <v>9</v>
      </c>
      <c r="B13" s="129" t="str">
        <f>NOMINA!B14</f>
        <v>CHAVEZ AMURRIO SEBASTIAN FABIAN</v>
      </c>
      <c r="C13" s="48">
        <f>IF(LEN!C14=0," ",LEN!C14)</f>
        <v>44</v>
      </c>
      <c r="D13" s="48" t="str">
        <f>IF(LEN!D14=0," ",LEN!D14)</f>
        <v xml:space="preserve"> </v>
      </c>
      <c r="E13" s="95" t="str">
        <f>IF(LEN!E14=0," ",LEN!E14)</f>
        <v xml:space="preserve"> </v>
      </c>
      <c r="F13" s="48">
        <f>IF(ING!C14=0," ",ING!C14)</f>
        <v>45</v>
      </c>
      <c r="G13" s="48" t="str">
        <f>IF(ING!D14=0," ",ING!D14)</f>
        <v xml:space="preserve"> </v>
      </c>
      <c r="H13" s="95" t="str">
        <f>IF(ING!E14=0," ",ING!E14)</f>
        <v xml:space="preserve"> </v>
      </c>
      <c r="I13" s="48">
        <f>IF('C.SOC'!C14=0," ",'C.SOC'!C14)</f>
        <v>56</v>
      </c>
      <c r="J13" s="48" t="str">
        <f>IF('C.SOC'!D14=0," ",'C.SOC'!D14)</f>
        <v xml:space="preserve"> </v>
      </c>
      <c r="K13" s="95" t="str">
        <f>IF('C.SOC'!E14=0," ",'C.SOC'!E14)</f>
        <v xml:space="preserve"> </v>
      </c>
      <c r="L13" s="48">
        <f>IF('E. FIS.'!C14=0," ",'E. FIS.'!C14)</f>
        <v>45</v>
      </c>
      <c r="M13" s="48" t="str">
        <f>IF('E. FIS.'!D14=0," ",'E. FIS.'!D14)</f>
        <v xml:space="preserve"> </v>
      </c>
      <c r="N13" s="95" t="str">
        <f>IF('E. FIS.'!E14=0," ",'E. FIS.'!E14)</f>
        <v xml:space="preserve"> </v>
      </c>
      <c r="O13" s="48">
        <f>IF(MUS.!C14=0," ",MUS.!C14)</f>
        <v>54</v>
      </c>
      <c r="P13" s="48" t="str">
        <f>IF(MUS.!D14=0," ",MUS.!D14)</f>
        <v xml:space="preserve"> </v>
      </c>
      <c r="Q13" s="95" t="str">
        <f>IF(MUS.!E14=0," ",MUS.!E14)</f>
        <v xml:space="preserve"> </v>
      </c>
      <c r="R13" s="96">
        <f>IF('A.PL. '!C14=0," ",'A.PL. '!C14)</f>
        <v>67</v>
      </c>
      <c r="S13" s="48" t="str">
        <f>IF('A.PL. '!D14=0," ",'A.PL. '!D14)</f>
        <v xml:space="preserve"> </v>
      </c>
      <c r="T13" s="95" t="str">
        <f>IF('A.PL. '!E14=0," ",'A.PL. '!E14)</f>
        <v xml:space="preserve"> </v>
      </c>
      <c r="U13" s="96">
        <f>IF(MAT!C14=0," ",MAT!C14)</f>
        <v>49</v>
      </c>
      <c r="V13" s="48" t="str">
        <f>IF(MAT!D14=0," ",MAT!D14)</f>
        <v xml:space="preserve"> </v>
      </c>
      <c r="W13" s="95" t="str">
        <f>IF(MAT!E14=0," ",MAT!E14)</f>
        <v xml:space="preserve"> </v>
      </c>
      <c r="X13" s="96">
        <f>IF('T. TEC. GRAL'!C14=0," ",'T. TEC. GRAL'!C14)</f>
        <v>44</v>
      </c>
      <c r="Y13" s="48" t="str">
        <f>IF('T. TEC. GRAL'!D14=0," ",'T. TEC. GRAL'!D14)</f>
        <v xml:space="preserve"> </v>
      </c>
      <c r="Z13" s="95" t="str">
        <f>IF('T. TEC. GRAL'!E14=0," ",'T. TEC. GRAL'!E14)</f>
        <v xml:space="preserve"> </v>
      </c>
      <c r="AA13" s="96">
        <f>IF('BIO-GEO'!C14=0," ",'BIO-GEO'!C14)</f>
        <v>35</v>
      </c>
      <c r="AB13" s="48" t="str">
        <f>IF('BIO-GEO'!D14=0," ",'BIO-GEO'!D14)</f>
        <v xml:space="preserve"> </v>
      </c>
      <c r="AC13" s="95" t="str">
        <f>IF('BIO-GEO'!E14=0," ",'BIO-GEO'!E14)</f>
        <v xml:space="preserve"> </v>
      </c>
      <c r="AD13" s="92">
        <f>IF(PSI!C14=0," ",PSI!C14)</f>
        <v>45</v>
      </c>
      <c r="AE13" s="48" t="str">
        <f>IF(PSI!D14=0," ",PSI!D14)</f>
        <v xml:space="preserve"> </v>
      </c>
      <c r="AF13" s="95" t="str">
        <f>IF(PSI!E14=0," ",PSI!E14)</f>
        <v xml:space="preserve"> </v>
      </c>
      <c r="AG13" s="96">
        <f>IF('REL.'!C14=0," ",'REL.'!C14)</f>
        <v>52.25</v>
      </c>
      <c r="AH13" s="48" t="str">
        <f>IF('REL.'!D14=0," ",'REL.'!D14)</f>
        <v xml:space="preserve"> </v>
      </c>
      <c r="AI13" s="95" t="str">
        <f>IF('REL.'!E14=0," ",'REL.'!E14)</f>
        <v xml:space="preserve"> </v>
      </c>
      <c r="AL13" s="239">
        <f t="shared" si="0"/>
        <v>48.75</v>
      </c>
      <c r="AM13" s="239">
        <f t="shared" si="1"/>
        <v>0</v>
      </c>
      <c r="AN13" s="239">
        <f t="shared" si="2"/>
        <v>0</v>
      </c>
    </row>
    <row r="14" spans="1:40">
      <c r="A14" s="60">
        <f>NOMINA!A15</f>
        <v>10</v>
      </c>
      <c r="B14" s="129" t="str">
        <f>NOMINA!B15</f>
        <v>CHOQUE ARISPE YURIANA LUCIA</v>
      </c>
      <c r="C14" s="48">
        <f>IF(LEN!C15=0," ",LEN!C15)</f>
        <v>51</v>
      </c>
      <c r="D14" s="48" t="str">
        <f>IF(LEN!D15=0," ",LEN!D15)</f>
        <v xml:space="preserve"> </v>
      </c>
      <c r="E14" s="95" t="str">
        <f>IF(LEN!E15=0," ",LEN!E15)</f>
        <v xml:space="preserve"> </v>
      </c>
      <c r="F14" s="48">
        <f>IF(ING!C15=0," ",ING!C15)</f>
        <v>58</v>
      </c>
      <c r="G14" s="48" t="str">
        <f>IF(ING!D15=0," ",ING!D15)</f>
        <v xml:space="preserve"> </v>
      </c>
      <c r="H14" s="95" t="str">
        <f>IF(ING!E15=0," ",ING!E15)</f>
        <v xml:space="preserve"> </v>
      </c>
      <c r="I14" s="48">
        <f>IF('C.SOC'!C15=0," ",'C.SOC'!C15)</f>
        <v>44</v>
      </c>
      <c r="J14" s="48" t="str">
        <f>IF('C.SOC'!D15=0," ",'C.SOC'!D15)</f>
        <v xml:space="preserve"> </v>
      </c>
      <c r="K14" s="95" t="str">
        <f>IF('C.SOC'!E15=0," ",'C.SOC'!E15)</f>
        <v xml:space="preserve"> </v>
      </c>
      <c r="L14" s="48">
        <f>IF('E. FIS.'!C15=0," ",'E. FIS.'!C15)</f>
        <v>55</v>
      </c>
      <c r="M14" s="48" t="str">
        <f>IF('E. FIS.'!D15=0," ",'E. FIS.'!D15)</f>
        <v xml:space="preserve"> </v>
      </c>
      <c r="N14" s="95" t="str">
        <f>IF('E. FIS.'!E15=0," ",'E. FIS.'!E15)</f>
        <v xml:space="preserve"> </v>
      </c>
      <c r="O14" s="48">
        <f>IF(MUS.!C15=0," ",MUS.!C15)</f>
        <v>58</v>
      </c>
      <c r="P14" s="48" t="str">
        <f>IF(MUS.!D15=0," ",MUS.!D15)</f>
        <v xml:space="preserve"> </v>
      </c>
      <c r="Q14" s="95" t="str">
        <f>IF(MUS.!E15=0," ",MUS.!E15)</f>
        <v xml:space="preserve"> </v>
      </c>
      <c r="R14" s="96">
        <f>IF('A.PL. '!C15=0," ",'A.PL. '!C15)</f>
        <v>66</v>
      </c>
      <c r="S14" s="48" t="str">
        <f>IF('A.PL. '!D15=0," ",'A.PL. '!D15)</f>
        <v xml:space="preserve"> </v>
      </c>
      <c r="T14" s="95" t="str">
        <f>IF('A.PL. '!E15=0," ",'A.PL. '!E15)</f>
        <v xml:space="preserve"> </v>
      </c>
      <c r="U14" s="96">
        <f>IF(MAT!C15=0," ",MAT!C15)</f>
        <v>52</v>
      </c>
      <c r="V14" s="48" t="str">
        <f>IF(MAT!D15=0," ",MAT!D15)</f>
        <v xml:space="preserve"> </v>
      </c>
      <c r="W14" s="95" t="str">
        <f>IF(MAT!E15=0," ",MAT!E15)</f>
        <v xml:space="preserve"> </v>
      </c>
      <c r="X14" s="96">
        <f>IF('T. TEC. GRAL'!C15=0," ",'T. TEC. GRAL'!C15)</f>
        <v>67</v>
      </c>
      <c r="Y14" s="48" t="str">
        <f>IF('T. TEC. GRAL'!D15=0," ",'T. TEC. GRAL'!D15)</f>
        <v xml:space="preserve"> </v>
      </c>
      <c r="Z14" s="95" t="str">
        <f>IF('T. TEC. GRAL'!E15=0," ",'T. TEC. GRAL'!E15)</f>
        <v xml:space="preserve"> </v>
      </c>
      <c r="AA14" s="96">
        <f>IF('BIO-GEO'!C15=0," ",'BIO-GEO'!C15)</f>
        <v>67</v>
      </c>
      <c r="AB14" s="48" t="str">
        <f>IF('BIO-GEO'!D15=0," ",'BIO-GEO'!D15)</f>
        <v xml:space="preserve"> </v>
      </c>
      <c r="AC14" s="95" t="str">
        <f>IF('BIO-GEO'!E15=0," ",'BIO-GEO'!E15)</f>
        <v xml:space="preserve"> </v>
      </c>
      <c r="AD14" s="92">
        <f>IF(PSI!C15=0," ",PSI!C15)</f>
        <v>67</v>
      </c>
      <c r="AE14" s="48" t="str">
        <f>IF(PSI!D15=0," ",PSI!D15)</f>
        <v xml:space="preserve"> </v>
      </c>
      <c r="AF14" s="95" t="str">
        <f>IF(PSI!E15=0," ",PSI!E15)</f>
        <v xml:space="preserve"> </v>
      </c>
      <c r="AG14" s="96">
        <f>IF('REL.'!C15=0," ",'REL.'!C15)</f>
        <v>63.75</v>
      </c>
      <c r="AH14" s="48" t="str">
        <f>IF('REL.'!D15=0," ",'REL.'!D15)</f>
        <v xml:space="preserve"> </v>
      </c>
      <c r="AI14" s="95" t="str">
        <f>IF('REL.'!E15=0," ",'REL.'!E15)</f>
        <v xml:space="preserve"> </v>
      </c>
      <c r="AL14" s="239">
        <f t="shared" si="0"/>
        <v>58.977272727272727</v>
      </c>
      <c r="AM14" s="239">
        <f t="shared" si="1"/>
        <v>0</v>
      </c>
      <c r="AN14" s="239">
        <f t="shared" si="2"/>
        <v>0</v>
      </c>
    </row>
    <row r="15" spans="1:40">
      <c r="A15" s="60">
        <f>NOMINA!A16</f>
        <v>11</v>
      </c>
      <c r="B15" s="129" t="str">
        <f>NOMINA!B16</f>
        <v>CHOQUE PERALTA JHOEL ELIAZAR</v>
      </c>
      <c r="C15" s="48">
        <f>IF(LEN!C16=0," ",LEN!C16)</f>
        <v>85</v>
      </c>
      <c r="D15" s="48" t="str">
        <f>IF(LEN!D16=0," ",LEN!D16)</f>
        <v xml:space="preserve"> </v>
      </c>
      <c r="E15" s="95" t="str">
        <f>IF(LEN!E16=0," ",LEN!E16)</f>
        <v xml:space="preserve"> </v>
      </c>
      <c r="F15" s="48">
        <f>IF(ING!C16=0," ",ING!C16)</f>
        <v>90</v>
      </c>
      <c r="G15" s="48" t="str">
        <f>IF(ING!D16=0," ",ING!D16)</f>
        <v xml:space="preserve"> </v>
      </c>
      <c r="H15" s="95" t="str">
        <f>IF(ING!E16=0," ",ING!E16)</f>
        <v xml:space="preserve"> </v>
      </c>
      <c r="I15" s="48">
        <f>IF('C.SOC'!C16=0," ",'C.SOC'!C16)</f>
        <v>82</v>
      </c>
      <c r="J15" s="48" t="str">
        <f>IF('C.SOC'!D16=0," ",'C.SOC'!D16)</f>
        <v xml:space="preserve"> </v>
      </c>
      <c r="K15" s="95" t="str">
        <f>IF('C.SOC'!E16=0," ",'C.SOC'!E16)</f>
        <v xml:space="preserve"> </v>
      </c>
      <c r="L15" s="48">
        <f>IF('E. FIS.'!C16=0," ",'E. FIS.'!C16)</f>
        <v>74</v>
      </c>
      <c r="M15" s="48" t="str">
        <f>IF('E. FIS.'!D16=0," ",'E. FIS.'!D16)</f>
        <v xml:space="preserve"> </v>
      </c>
      <c r="N15" s="95" t="str">
        <f>IF('E. FIS.'!E16=0," ",'E. FIS.'!E16)</f>
        <v xml:space="preserve"> </v>
      </c>
      <c r="O15" s="48">
        <f>IF(MUS.!C16=0," ",MUS.!C16)</f>
        <v>94</v>
      </c>
      <c r="P15" s="48" t="str">
        <f>IF(MUS.!D16=0," ",MUS.!D16)</f>
        <v xml:space="preserve"> </v>
      </c>
      <c r="Q15" s="95" t="str">
        <f>IF(MUS.!E16=0," ",MUS.!E16)</f>
        <v xml:space="preserve"> </v>
      </c>
      <c r="R15" s="96">
        <f>IF('A.PL. '!C16=0," ",'A.PL. '!C16)</f>
        <v>73</v>
      </c>
      <c r="S15" s="48" t="str">
        <f>IF('A.PL. '!D16=0," ",'A.PL. '!D16)</f>
        <v xml:space="preserve"> </v>
      </c>
      <c r="T15" s="95" t="str">
        <f>IF('A.PL. '!E16=0," ",'A.PL. '!E16)</f>
        <v xml:space="preserve"> </v>
      </c>
      <c r="U15" s="96">
        <f>IF(MAT!C16=0," ",MAT!C16)</f>
        <v>83</v>
      </c>
      <c r="V15" s="48" t="str">
        <f>IF(MAT!D16=0," ",MAT!D16)</f>
        <v xml:space="preserve"> </v>
      </c>
      <c r="W15" s="95" t="str">
        <f>IF(MAT!E16=0," ",MAT!E16)</f>
        <v xml:space="preserve"> </v>
      </c>
      <c r="X15" s="96">
        <f>IF('T. TEC. GRAL'!C16=0," ",'T. TEC. GRAL'!C16)</f>
        <v>65</v>
      </c>
      <c r="Y15" s="48" t="str">
        <f>IF('T. TEC. GRAL'!D16=0," ",'T. TEC. GRAL'!D16)</f>
        <v xml:space="preserve"> </v>
      </c>
      <c r="Z15" s="95" t="str">
        <f>IF('T. TEC. GRAL'!E16=0," ",'T. TEC. GRAL'!E16)</f>
        <v xml:space="preserve"> </v>
      </c>
      <c r="AA15" s="96">
        <f>IF('BIO-GEO'!C16=0," ",'BIO-GEO'!C16)</f>
        <v>82</v>
      </c>
      <c r="AB15" s="48" t="str">
        <f>IF('BIO-GEO'!D16=0," ",'BIO-GEO'!D16)</f>
        <v xml:space="preserve"> </v>
      </c>
      <c r="AC15" s="95" t="str">
        <f>IF('BIO-GEO'!E16=0," ",'BIO-GEO'!E16)</f>
        <v xml:space="preserve"> </v>
      </c>
      <c r="AD15" s="92">
        <f>IF(PSI!C16=0," ",PSI!C16)</f>
        <v>83</v>
      </c>
      <c r="AE15" s="48" t="str">
        <f>IF(PSI!D16=0," ",PSI!D16)</f>
        <v xml:space="preserve"> </v>
      </c>
      <c r="AF15" s="95" t="str">
        <f>IF(PSI!E16=0," ",PSI!E16)</f>
        <v xml:space="preserve"> </v>
      </c>
      <c r="AG15" s="96">
        <f>IF('REL.'!C16=0," ",'REL.'!C16)</f>
        <v>68.833333333333329</v>
      </c>
      <c r="AH15" s="48" t="str">
        <f>IF('REL.'!D16=0," ",'REL.'!D16)</f>
        <v xml:space="preserve"> </v>
      </c>
      <c r="AI15" s="95" t="str">
        <f>IF('REL.'!E16=0," ",'REL.'!E16)</f>
        <v xml:space="preserve"> </v>
      </c>
      <c r="AL15" s="239">
        <f t="shared" si="0"/>
        <v>79.984848484848484</v>
      </c>
      <c r="AM15" s="239">
        <f t="shared" si="1"/>
        <v>0</v>
      </c>
      <c r="AN15" s="239">
        <f t="shared" si="2"/>
        <v>0</v>
      </c>
    </row>
    <row r="16" spans="1:40">
      <c r="A16" s="60">
        <f>NOMINA!A17</f>
        <v>12</v>
      </c>
      <c r="B16" s="129" t="str">
        <f>NOMINA!B17</f>
        <v>COPA RIVERO MARCIA MARCELA</v>
      </c>
      <c r="C16" s="48">
        <f>IF(LEN!C17=0," ",LEN!C17)</f>
        <v>43</v>
      </c>
      <c r="D16" s="48" t="str">
        <f>IF(LEN!D17=0," ",LEN!D17)</f>
        <v xml:space="preserve"> </v>
      </c>
      <c r="E16" s="95" t="str">
        <f>IF(LEN!E17=0," ",LEN!E17)</f>
        <v xml:space="preserve"> </v>
      </c>
      <c r="F16" s="48">
        <f>IF(ING!C17=0," ",ING!C17)</f>
        <v>67</v>
      </c>
      <c r="G16" s="48" t="str">
        <f>IF(ING!D17=0," ",ING!D17)</f>
        <v xml:space="preserve"> </v>
      </c>
      <c r="H16" s="95" t="str">
        <f>IF(ING!E17=0," ",ING!E17)</f>
        <v xml:space="preserve"> </v>
      </c>
      <c r="I16" s="48">
        <f>IF('C.SOC'!C17=0," ",'C.SOC'!C17)</f>
        <v>51</v>
      </c>
      <c r="J16" s="48" t="str">
        <f>IF('C.SOC'!D17=0," ",'C.SOC'!D17)</f>
        <v xml:space="preserve"> </v>
      </c>
      <c r="K16" s="95" t="str">
        <f>IF('C.SOC'!E17=0," ",'C.SOC'!E17)</f>
        <v xml:space="preserve"> </v>
      </c>
      <c r="L16" s="48">
        <f>IF('E. FIS.'!C17=0," ",'E. FIS.'!C17)</f>
        <v>80</v>
      </c>
      <c r="M16" s="48" t="str">
        <f>IF('E. FIS.'!D17=0," ",'E. FIS.'!D17)</f>
        <v xml:space="preserve"> </v>
      </c>
      <c r="N16" s="95" t="str">
        <f>IF('E. FIS.'!E17=0," ",'E. FIS.'!E17)</f>
        <v xml:space="preserve"> </v>
      </c>
      <c r="O16" s="48">
        <f>IF(MUS.!C17=0," ",MUS.!C17)</f>
        <v>70</v>
      </c>
      <c r="P16" s="48" t="str">
        <f>IF(MUS.!D17=0," ",MUS.!D17)</f>
        <v xml:space="preserve"> </v>
      </c>
      <c r="Q16" s="95" t="str">
        <f>IF(MUS.!E17=0," ",MUS.!E17)</f>
        <v xml:space="preserve"> </v>
      </c>
      <c r="R16" s="96">
        <f>IF('A.PL. '!C17=0," ",'A.PL. '!C17)</f>
        <v>61</v>
      </c>
      <c r="S16" s="48" t="str">
        <f>IF('A.PL. '!D17=0," ",'A.PL. '!D17)</f>
        <v xml:space="preserve"> </v>
      </c>
      <c r="T16" s="95" t="str">
        <f>IF('A.PL. '!E17=0," ",'A.PL. '!E17)</f>
        <v xml:space="preserve"> </v>
      </c>
      <c r="U16" s="96">
        <f>IF(MAT!C17=0," ",MAT!C17)</f>
        <v>52</v>
      </c>
      <c r="V16" s="48" t="str">
        <f>IF(MAT!D17=0," ",MAT!D17)</f>
        <v xml:space="preserve"> </v>
      </c>
      <c r="W16" s="95" t="str">
        <f>IF(MAT!E17=0," ",MAT!E17)</f>
        <v xml:space="preserve"> </v>
      </c>
      <c r="X16" s="96">
        <f>IF('T. TEC. GRAL'!C17=0," ",'T. TEC. GRAL'!C17)</f>
        <v>56</v>
      </c>
      <c r="Y16" s="48" t="str">
        <f>IF('T. TEC. GRAL'!D17=0," ",'T. TEC. GRAL'!D17)</f>
        <v xml:space="preserve"> </v>
      </c>
      <c r="Z16" s="95" t="str">
        <f>IF('T. TEC. GRAL'!E17=0," ",'T. TEC. GRAL'!E17)</f>
        <v xml:space="preserve"> </v>
      </c>
      <c r="AA16" s="96">
        <f>IF('BIO-GEO'!C17=0," ",'BIO-GEO'!C17)</f>
        <v>59</v>
      </c>
      <c r="AB16" s="48" t="str">
        <f>IF('BIO-GEO'!D17=0," ",'BIO-GEO'!D17)</f>
        <v xml:space="preserve"> </v>
      </c>
      <c r="AC16" s="95" t="str">
        <f>IF('BIO-GEO'!E17=0," ",'BIO-GEO'!E17)</f>
        <v xml:space="preserve"> </v>
      </c>
      <c r="AD16" s="92">
        <f>IF(PSI!C17=0," ",PSI!C17)</f>
        <v>51</v>
      </c>
      <c r="AE16" s="48" t="str">
        <f>IF(PSI!D17=0," ",PSI!D17)</f>
        <v xml:space="preserve"> </v>
      </c>
      <c r="AF16" s="95" t="str">
        <f>IF(PSI!E17=0," ",PSI!E17)</f>
        <v xml:space="preserve"> </v>
      </c>
      <c r="AG16" s="96">
        <f>IF('REL.'!C17=0," ",'REL.'!C17)</f>
        <v>70.666666666666671</v>
      </c>
      <c r="AH16" s="48" t="str">
        <f>IF('REL.'!D17=0," ",'REL.'!D17)</f>
        <v xml:space="preserve"> </v>
      </c>
      <c r="AI16" s="95" t="str">
        <f>IF('REL.'!E17=0," ",'REL.'!E17)</f>
        <v xml:space="preserve"> </v>
      </c>
      <c r="AL16" s="239">
        <f t="shared" si="0"/>
        <v>60.060606060606055</v>
      </c>
      <c r="AM16" s="239">
        <f t="shared" si="1"/>
        <v>0</v>
      </c>
      <c r="AN16" s="239">
        <f t="shared" si="2"/>
        <v>0</v>
      </c>
    </row>
    <row r="17" spans="1:40">
      <c r="A17" s="60">
        <f>NOMINA!A18</f>
        <v>13</v>
      </c>
      <c r="B17" s="129" t="str">
        <f>NOMINA!B18</f>
        <v>CORIA URUÑO CHRISTOPER GABRIEL</v>
      </c>
      <c r="C17" s="48">
        <f>IF(LEN!C18=0," ",LEN!C18)</f>
        <v>69</v>
      </c>
      <c r="D17" s="48" t="str">
        <f>IF(LEN!D18=0," ",LEN!D18)</f>
        <v xml:space="preserve"> </v>
      </c>
      <c r="E17" s="95" t="str">
        <f>IF(LEN!E18=0," ",LEN!E18)</f>
        <v xml:space="preserve"> </v>
      </c>
      <c r="F17" s="48">
        <f>IF(ING!C18=0," ",ING!C18)</f>
        <v>76</v>
      </c>
      <c r="G17" s="48" t="str">
        <f>IF(ING!D18=0," ",ING!D18)</f>
        <v xml:space="preserve"> </v>
      </c>
      <c r="H17" s="95" t="str">
        <f>IF(ING!E18=0," ",ING!E18)</f>
        <v xml:space="preserve"> </v>
      </c>
      <c r="I17" s="48">
        <f>IF('C.SOC'!C18=0," ",'C.SOC'!C18)</f>
        <v>51</v>
      </c>
      <c r="J17" s="48" t="str">
        <f>IF('C.SOC'!D18=0," ",'C.SOC'!D18)</f>
        <v xml:space="preserve"> </v>
      </c>
      <c r="K17" s="95" t="str">
        <f>IF('C.SOC'!E18=0," ",'C.SOC'!E18)</f>
        <v xml:space="preserve"> </v>
      </c>
      <c r="L17" s="48">
        <f>IF('E. FIS.'!C18=0," ",'E. FIS.'!C18)</f>
        <v>78</v>
      </c>
      <c r="M17" s="48" t="str">
        <f>IF('E. FIS.'!D18=0," ",'E. FIS.'!D18)</f>
        <v xml:space="preserve"> </v>
      </c>
      <c r="N17" s="95" t="str">
        <f>IF('E. FIS.'!E18=0," ",'E. FIS.'!E18)</f>
        <v xml:space="preserve"> </v>
      </c>
      <c r="O17" s="48">
        <f>IF(MUS.!C18=0," ",MUS.!C18)</f>
        <v>93</v>
      </c>
      <c r="P17" s="48" t="str">
        <f>IF(MUS.!D18=0," ",MUS.!D18)</f>
        <v xml:space="preserve"> </v>
      </c>
      <c r="Q17" s="95" t="str">
        <f>IF(MUS.!E18=0," ",MUS.!E18)</f>
        <v xml:space="preserve"> </v>
      </c>
      <c r="R17" s="96">
        <f>IF('A.PL. '!C18=0," ",'A.PL. '!C18)</f>
        <v>62</v>
      </c>
      <c r="S17" s="48" t="str">
        <f>IF('A.PL. '!D18=0," ",'A.PL. '!D18)</f>
        <v xml:space="preserve"> </v>
      </c>
      <c r="T17" s="95" t="str">
        <f>IF('A.PL. '!E18=0," ",'A.PL. '!E18)</f>
        <v xml:space="preserve"> </v>
      </c>
      <c r="U17" s="96">
        <f>IF(MAT!C18=0," ",MAT!C18)</f>
        <v>86</v>
      </c>
      <c r="V17" s="48" t="str">
        <f>IF(MAT!D18=0," ",MAT!D18)</f>
        <v xml:space="preserve"> </v>
      </c>
      <c r="W17" s="95" t="str">
        <f>IF(MAT!E18=0," ",MAT!E18)</f>
        <v xml:space="preserve"> </v>
      </c>
      <c r="X17" s="96">
        <f>IF('T. TEC. GRAL'!C18=0," ",'T. TEC. GRAL'!C18)</f>
        <v>68</v>
      </c>
      <c r="Y17" s="48" t="str">
        <f>IF('T. TEC. GRAL'!D18=0," ",'T. TEC. GRAL'!D18)</f>
        <v xml:space="preserve"> </v>
      </c>
      <c r="Z17" s="95" t="str">
        <f>IF('T. TEC. GRAL'!E18=0," ",'T. TEC. GRAL'!E18)</f>
        <v xml:space="preserve"> </v>
      </c>
      <c r="AA17" s="96">
        <f>IF('BIO-GEO'!C18=0," ",'BIO-GEO'!C18)</f>
        <v>78</v>
      </c>
      <c r="AB17" s="48" t="str">
        <f>IF('BIO-GEO'!D18=0," ",'BIO-GEO'!D18)</f>
        <v xml:space="preserve"> </v>
      </c>
      <c r="AC17" s="95" t="str">
        <f>IF('BIO-GEO'!E18=0," ",'BIO-GEO'!E18)</f>
        <v xml:space="preserve"> </v>
      </c>
      <c r="AD17" s="92">
        <f>IF(PSI!C18=0," ",PSI!C18)</f>
        <v>69</v>
      </c>
      <c r="AE17" s="48" t="str">
        <f>IF(PSI!D18=0," ",PSI!D18)</f>
        <v xml:space="preserve"> </v>
      </c>
      <c r="AF17" s="95" t="str">
        <f>IF(PSI!E18=0," ",PSI!E18)</f>
        <v xml:space="preserve"> </v>
      </c>
      <c r="AG17" s="96">
        <f>IF('REL.'!C18=0," ",'REL.'!C18)</f>
        <v>61.416666666666671</v>
      </c>
      <c r="AH17" s="48" t="str">
        <f>IF('REL.'!D18=0," ",'REL.'!D18)</f>
        <v xml:space="preserve"> </v>
      </c>
      <c r="AI17" s="95" t="str">
        <f>IF('REL.'!E18=0," ",'REL.'!E18)</f>
        <v xml:space="preserve"> </v>
      </c>
      <c r="AL17" s="239">
        <f t="shared" si="0"/>
        <v>71.946969696969688</v>
      </c>
      <c r="AM17" s="239">
        <f t="shared" si="1"/>
        <v>0</v>
      </c>
      <c r="AN17" s="239">
        <f t="shared" si="2"/>
        <v>0</v>
      </c>
    </row>
    <row r="18" spans="1:40">
      <c r="A18" s="60">
        <f>NOMINA!A19</f>
        <v>14</v>
      </c>
      <c r="B18" s="129" t="str">
        <f>NOMINA!B19</f>
        <v>FLORES BALLESTEROS LEANDRO FRANK</v>
      </c>
      <c r="C18" s="48">
        <f>IF(LEN!C19=0," ",LEN!C19)</f>
        <v>68</v>
      </c>
      <c r="D18" s="48" t="str">
        <f>IF(LEN!D19=0," ",LEN!D19)</f>
        <v xml:space="preserve"> </v>
      </c>
      <c r="E18" s="95" t="str">
        <f>IF(LEN!E19=0," ",LEN!E19)</f>
        <v xml:space="preserve"> </v>
      </c>
      <c r="F18" s="48">
        <f>IF(ING!C19=0," ",ING!C19)</f>
        <v>61</v>
      </c>
      <c r="G18" s="48" t="str">
        <f>IF(ING!D19=0," ",ING!D19)</f>
        <v xml:space="preserve"> </v>
      </c>
      <c r="H18" s="95" t="str">
        <f>IF(ING!E19=0," ",ING!E19)</f>
        <v xml:space="preserve"> </v>
      </c>
      <c r="I18" s="48">
        <f>IF('C.SOC'!C19=0," ",'C.SOC'!C19)</f>
        <v>54</v>
      </c>
      <c r="J18" s="48" t="str">
        <f>IF('C.SOC'!D19=0," ",'C.SOC'!D19)</f>
        <v xml:space="preserve"> </v>
      </c>
      <c r="K18" s="95" t="str">
        <f>IF('C.SOC'!E19=0," ",'C.SOC'!E19)</f>
        <v xml:space="preserve"> </v>
      </c>
      <c r="L18" s="48">
        <f>IF('E. FIS.'!C19=0," ",'E. FIS.'!C19)</f>
        <v>72</v>
      </c>
      <c r="M18" s="48" t="str">
        <f>IF('E. FIS.'!D19=0," ",'E. FIS.'!D19)</f>
        <v xml:space="preserve"> </v>
      </c>
      <c r="N18" s="95" t="str">
        <f>IF('E. FIS.'!E19=0," ",'E. FIS.'!E19)</f>
        <v xml:space="preserve"> </v>
      </c>
      <c r="O18" s="48">
        <f>IF(MUS.!C19=0," ",MUS.!C19)</f>
        <v>85</v>
      </c>
      <c r="P18" s="48" t="str">
        <f>IF(MUS.!D19=0," ",MUS.!D19)</f>
        <v xml:space="preserve"> </v>
      </c>
      <c r="Q18" s="95" t="str">
        <f>IF(MUS.!E19=0," ",MUS.!E19)</f>
        <v xml:space="preserve"> </v>
      </c>
      <c r="R18" s="96">
        <f>IF('A.PL. '!C19=0," ",'A.PL. '!C19)</f>
        <v>74</v>
      </c>
      <c r="S18" s="48" t="str">
        <f>IF('A.PL. '!D19=0," ",'A.PL. '!D19)</f>
        <v xml:space="preserve"> </v>
      </c>
      <c r="T18" s="95" t="str">
        <f>IF('A.PL. '!E19=0," ",'A.PL. '!E19)</f>
        <v xml:space="preserve"> </v>
      </c>
      <c r="U18" s="96">
        <f>IF(MAT!C19=0," ",MAT!C19)</f>
        <v>73</v>
      </c>
      <c r="V18" s="48" t="str">
        <f>IF(MAT!D19=0," ",MAT!D19)</f>
        <v xml:space="preserve"> </v>
      </c>
      <c r="W18" s="95" t="str">
        <f>IF(MAT!E19=0," ",MAT!E19)</f>
        <v xml:space="preserve"> </v>
      </c>
      <c r="X18" s="96">
        <f>IF('T. TEC. GRAL'!C19=0," ",'T. TEC. GRAL'!C19)</f>
        <v>69</v>
      </c>
      <c r="Y18" s="48" t="str">
        <f>IF('T. TEC. GRAL'!D19=0," ",'T. TEC. GRAL'!D19)</f>
        <v xml:space="preserve"> </v>
      </c>
      <c r="Z18" s="95" t="str">
        <f>IF('T. TEC. GRAL'!E19=0," ",'T. TEC. GRAL'!E19)</f>
        <v xml:space="preserve"> </v>
      </c>
      <c r="AA18" s="96">
        <f>IF('BIO-GEO'!C19=0," ",'BIO-GEO'!C19)</f>
        <v>80</v>
      </c>
      <c r="AB18" s="48" t="str">
        <f>IF('BIO-GEO'!D19=0," ",'BIO-GEO'!D19)</f>
        <v xml:space="preserve"> </v>
      </c>
      <c r="AC18" s="95" t="str">
        <f>IF('BIO-GEO'!E19=0," ",'BIO-GEO'!E19)</f>
        <v xml:space="preserve"> </v>
      </c>
      <c r="AD18" s="92">
        <f>IF(PSI!C19=0," ",PSI!C19)</f>
        <v>64</v>
      </c>
      <c r="AE18" s="48" t="str">
        <f>IF(PSI!D19=0," ",PSI!D19)</f>
        <v xml:space="preserve"> </v>
      </c>
      <c r="AF18" s="95" t="str">
        <f>IF(PSI!E19=0," ",PSI!E19)</f>
        <v xml:space="preserve"> </v>
      </c>
      <c r="AG18" s="96">
        <f>IF('REL.'!C19=0," ",'REL.'!C19)</f>
        <v>65.666666666666671</v>
      </c>
      <c r="AH18" s="48" t="str">
        <f>IF('REL.'!D19=0," ",'REL.'!D19)</f>
        <v xml:space="preserve"> </v>
      </c>
      <c r="AI18" s="95" t="str">
        <f>IF('REL.'!E19=0," ",'REL.'!E19)</f>
        <v xml:space="preserve"> </v>
      </c>
      <c r="AL18" s="239">
        <f t="shared" si="0"/>
        <v>69.606060606060609</v>
      </c>
      <c r="AM18" s="239">
        <f t="shared" si="1"/>
        <v>0</v>
      </c>
      <c r="AN18" s="239">
        <f t="shared" si="2"/>
        <v>0</v>
      </c>
    </row>
    <row r="19" spans="1:40">
      <c r="A19" s="60">
        <f>NOMINA!A20</f>
        <v>15</v>
      </c>
      <c r="B19" s="129" t="str">
        <f>NOMINA!B20</f>
        <v>GONZALES MOLINA ARIANET BELEN</v>
      </c>
      <c r="C19" s="48">
        <f>IF(LEN!C20=0," ",LEN!C20)</f>
        <v>79</v>
      </c>
      <c r="D19" s="48" t="str">
        <f>IF(LEN!D20=0," ",LEN!D20)</f>
        <v xml:space="preserve"> </v>
      </c>
      <c r="E19" s="95" t="str">
        <f>IF(LEN!E20=0," ",LEN!E20)</f>
        <v xml:space="preserve"> </v>
      </c>
      <c r="F19" s="48">
        <f>IF(ING!C20=0," ",ING!C20)</f>
        <v>79</v>
      </c>
      <c r="G19" s="48" t="str">
        <f>IF(ING!D20=0," ",ING!D20)</f>
        <v xml:space="preserve"> </v>
      </c>
      <c r="H19" s="95" t="str">
        <f>IF(ING!E20=0," ",ING!E20)</f>
        <v xml:space="preserve"> </v>
      </c>
      <c r="I19" s="48">
        <f>IF('C.SOC'!C20=0," ",'C.SOC'!C20)</f>
        <v>74</v>
      </c>
      <c r="J19" s="48" t="str">
        <f>IF('C.SOC'!D20=0," ",'C.SOC'!D20)</f>
        <v xml:space="preserve"> </v>
      </c>
      <c r="K19" s="95" t="str">
        <f>IF('C.SOC'!E20=0," ",'C.SOC'!E20)</f>
        <v xml:space="preserve"> </v>
      </c>
      <c r="L19" s="48">
        <f>IF('E. FIS.'!C20=0," ",'E. FIS.'!C20)</f>
        <v>85</v>
      </c>
      <c r="M19" s="48" t="str">
        <f>IF('E. FIS.'!D20=0," ",'E. FIS.'!D20)</f>
        <v xml:space="preserve"> </v>
      </c>
      <c r="N19" s="95" t="str">
        <f>IF('E. FIS.'!E20=0," ",'E. FIS.'!E20)</f>
        <v xml:space="preserve"> </v>
      </c>
      <c r="O19" s="48">
        <f>IF(MUS.!C20=0," ",MUS.!C20)</f>
        <v>92</v>
      </c>
      <c r="P19" s="48" t="str">
        <f>IF(MUS.!D20=0," ",MUS.!D20)</f>
        <v xml:space="preserve"> </v>
      </c>
      <c r="Q19" s="95" t="str">
        <f>IF(MUS.!E20=0," ",MUS.!E20)</f>
        <v xml:space="preserve"> </v>
      </c>
      <c r="R19" s="96">
        <f>IF('A.PL. '!C20=0," ",'A.PL. '!C20)</f>
        <v>82</v>
      </c>
      <c r="S19" s="48" t="str">
        <f>IF('A.PL. '!D20=0," ",'A.PL. '!D20)</f>
        <v xml:space="preserve"> </v>
      </c>
      <c r="T19" s="95" t="str">
        <f>IF('A.PL. '!E20=0," ",'A.PL. '!E20)</f>
        <v xml:space="preserve"> </v>
      </c>
      <c r="U19" s="96">
        <f>IF(MAT!C20=0," ",MAT!C20)</f>
        <v>88</v>
      </c>
      <c r="V19" s="48" t="str">
        <f>IF(MAT!D20=0," ",MAT!D20)</f>
        <v xml:space="preserve"> </v>
      </c>
      <c r="W19" s="95" t="str">
        <f>IF(MAT!E20=0," ",MAT!E20)</f>
        <v xml:space="preserve"> </v>
      </c>
      <c r="X19" s="96">
        <f>IF('T. TEC. GRAL'!C20=0," ",'T. TEC. GRAL'!C20)</f>
        <v>86</v>
      </c>
      <c r="Y19" s="48" t="str">
        <f>IF('T. TEC. GRAL'!D20=0," ",'T. TEC. GRAL'!D20)</f>
        <v xml:space="preserve"> </v>
      </c>
      <c r="Z19" s="95" t="str">
        <f>IF('T. TEC. GRAL'!E20=0," ",'T. TEC. GRAL'!E20)</f>
        <v xml:space="preserve"> </v>
      </c>
      <c r="AA19" s="96">
        <f>IF('BIO-GEO'!C20=0," ",'BIO-GEO'!C20)</f>
        <v>71</v>
      </c>
      <c r="AB19" s="48" t="str">
        <f>IF('BIO-GEO'!D20=0," ",'BIO-GEO'!D20)</f>
        <v xml:space="preserve"> </v>
      </c>
      <c r="AC19" s="95" t="str">
        <f>IF('BIO-GEO'!E20=0," ",'BIO-GEO'!E20)</f>
        <v xml:space="preserve"> </v>
      </c>
      <c r="AD19" s="92">
        <f>IF(PSI!C20=0," ",PSI!C20)</f>
        <v>85</v>
      </c>
      <c r="AE19" s="48" t="str">
        <f>IF(PSI!D20=0," ",PSI!D20)</f>
        <v xml:space="preserve"> </v>
      </c>
      <c r="AF19" s="95" t="str">
        <f>IF(PSI!E20=0," ",PSI!E20)</f>
        <v xml:space="preserve"> </v>
      </c>
      <c r="AG19" s="96">
        <f>IF('REL.'!C20=0," ",'REL.'!C20)</f>
        <v>74.583333333333343</v>
      </c>
      <c r="AH19" s="48" t="str">
        <f>IF('REL.'!D20=0," ",'REL.'!D20)</f>
        <v xml:space="preserve"> </v>
      </c>
      <c r="AI19" s="95" t="str">
        <f>IF('REL.'!E20=0," ",'REL.'!E20)</f>
        <v xml:space="preserve"> </v>
      </c>
      <c r="AL19" s="239">
        <f t="shared" si="0"/>
        <v>81.416666666666671</v>
      </c>
      <c r="AM19" s="239">
        <f t="shared" si="1"/>
        <v>0</v>
      </c>
      <c r="AN19" s="239">
        <f t="shared" si="2"/>
        <v>0</v>
      </c>
    </row>
    <row r="20" spans="1:40">
      <c r="A20" s="60">
        <f>NOMINA!A21</f>
        <v>16</v>
      </c>
      <c r="B20" s="129" t="str">
        <f>NOMINA!B21</f>
        <v>GUAQUIPA BECERRA NICOLAS ALEX</v>
      </c>
      <c r="C20" s="48">
        <f>IF(LEN!C21=0," ",LEN!C21)</f>
        <v>79</v>
      </c>
      <c r="D20" s="48" t="str">
        <f>IF(LEN!D21=0," ",LEN!D21)</f>
        <v xml:space="preserve"> </v>
      </c>
      <c r="E20" s="95" t="str">
        <f>IF(LEN!E21=0," ",LEN!E21)</f>
        <v xml:space="preserve"> </v>
      </c>
      <c r="F20" s="48">
        <f>IF(ING!C21=0," ",ING!C21)</f>
        <v>83</v>
      </c>
      <c r="G20" s="48" t="str">
        <f>IF(ING!D21=0," ",ING!D21)</f>
        <v xml:space="preserve"> </v>
      </c>
      <c r="H20" s="95" t="str">
        <f>IF(ING!E21=0," ",ING!E21)</f>
        <v xml:space="preserve"> </v>
      </c>
      <c r="I20" s="48">
        <f>IF('C.SOC'!C21=0," ",'C.SOC'!C21)</f>
        <v>66</v>
      </c>
      <c r="J20" s="48" t="str">
        <f>IF('C.SOC'!D21=0," ",'C.SOC'!D21)</f>
        <v xml:space="preserve"> </v>
      </c>
      <c r="K20" s="95" t="str">
        <f>IF('C.SOC'!E21=0," ",'C.SOC'!E21)</f>
        <v xml:space="preserve"> </v>
      </c>
      <c r="L20" s="48">
        <f>IF('E. FIS.'!C21=0," ",'E. FIS.'!C21)</f>
        <v>83</v>
      </c>
      <c r="M20" s="48" t="str">
        <f>IF('E. FIS.'!D21=0," ",'E. FIS.'!D21)</f>
        <v xml:space="preserve"> </v>
      </c>
      <c r="N20" s="95" t="str">
        <f>IF('E. FIS.'!E21=0," ",'E. FIS.'!E21)</f>
        <v xml:space="preserve"> </v>
      </c>
      <c r="O20" s="48">
        <f>IF(MUS.!C21=0," ",MUS.!C21)</f>
        <v>89</v>
      </c>
      <c r="P20" s="48" t="str">
        <f>IF(MUS.!D21=0," ",MUS.!D21)</f>
        <v xml:space="preserve"> </v>
      </c>
      <c r="Q20" s="95" t="str">
        <f>IF(MUS.!E21=0," ",MUS.!E21)</f>
        <v xml:space="preserve"> </v>
      </c>
      <c r="R20" s="96">
        <f>IF('A.PL. '!C21=0," ",'A.PL. '!C21)</f>
        <v>70</v>
      </c>
      <c r="S20" s="48" t="str">
        <f>IF('A.PL. '!D21=0," ",'A.PL. '!D21)</f>
        <v xml:space="preserve"> </v>
      </c>
      <c r="T20" s="95" t="str">
        <f>IF('A.PL. '!E21=0," ",'A.PL. '!E21)</f>
        <v xml:space="preserve"> </v>
      </c>
      <c r="U20" s="96">
        <f>IF(MAT!C21=0," ",MAT!C21)</f>
        <v>83</v>
      </c>
      <c r="V20" s="48" t="str">
        <f>IF(MAT!D21=0," ",MAT!D21)</f>
        <v xml:space="preserve"> </v>
      </c>
      <c r="W20" s="95" t="str">
        <f>IF(MAT!E21=0," ",MAT!E21)</f>
        <v xml:space="preserve"> </v>
      </c>
      <c r="X20" s="96">
        <f>IF('T. TEC. GRAL'!C21=0," ",'T. TEC. GRAL'!C21)</f>
        <v>71</v>
      </c>
      <c r="Y20" s="48" t="str">
        <f>IF('T. TEC. GRAL'!D21=0," ",'T. TEC. GRAL'!D21)</f>
        <v xml:space="preserve"> </v>
      </c>
      <c r="Z20" s="95" t="str">
        <f>IF('T. TEC. GRAL'!E21=0," ",'T. TEC. GRAL'!E21)</f>
        <v xml:space="preserve"> </v>
      </c>
      <c r="AA20" s="96">
        <f>IF('BIO-GEO'!C21=0," ",'BIO-GEO'!C21)</f>
        <v>85</v>
      </c>
      <c r="AB20" s="48" t="str">
        <f>IF('BIO-GEO'!D21=0," ",'BIO-GEO'!D21)</f>
        <v xml:space="preserve"> </v>
      </c>
      <c r="AC20" s="95" t="str">
        <f>IF('BIO-GEO'!E21=0," ",'BIO-GEO'!E21)</f>
        <v xml:space="preserve"> </v>
      </c>
      <c r="AD20" s="92">
        <f>IF(PSI!C21=0," ",PSI!C21)</f>
        <v>82</v>
      </c>
      <c r="AE20" s="48" t="str">
        <f>IF(PSI!D21=0," ",PSI!D21)</f>
        <v xml:space="preserve"> </v>
      </c>
      <c r="AF20" s="95" t="str">
        <f>IF(PSI!E21=0," ",PSI!E21)</f>
        <v xml:space="preserve"> </v>
      </c>
      <c r="AG20" s="96">
        <f>IF('REL.'!C21=0," ",'REL.'!C21)</f>
        <v>79.666666666666657</v>
      </c>
      <c r="AH20" s="48" t="str">
        <f>IF('REL.'!D21=0," ",'REL.'!D21)</f>
        <v xml:space="preserve"> </v>
      </c>
      <c r="AI20" s="95" t="str">
        <f>IF('REL.'!E21=0," ",'REL.'!E21)</f>
        <v xml:space="preserve"> </v>
      </c>
      <c r="AL20" s="239">
        <f t="shared" si="0"/>
        <v>79.151515151515142</v>
      </c>
      <c r="AM20" s="239">
        <f t="shared" si="1"/>
        <v>0</v>
      </c>
      <c r="AN20" s="239">
        <f t="shared" si="2"/>
        <v>0</v>
      </c>
    </row>
    <row r="21" spans="1:40">
      <c r="A21" s="60">
        <f>NOMINA!A22</f>
        <v>17</v>
      </c>
      <c r="B21" s="129" t="str">
        <f>NOMINA!B22</f>
        <v>HUANQUIRI MAMANI JHOSMAR</v>
      </c>
      <c r="C21" s="48">
        <f>IF(LEN!C22=0," ",LEN!C22)</f>
        <v>43</v>
      </c>
      <c r="D21" s="48" t="str">
        <f>IF(LEN!D22=0," ",LEN!D22)</f>
        <v xml:space="preserve"> </v>
      </c>
      <c r="E21" s="95" t="str">
        <f>IF(LEN!E22=0," ",LEN!E22)</f>
        <v xml:space="preserve"> </v>
      </c>
      <c r="F21" s="48">
        <f>IF(ING!C22=0," ",ING!C22)</f>
        <v>41</v>
      </c>
      <c r="G21" s="48" t="str">
        <f>IF(ING!D22=0," ",ING!D22)</f>
        <v xml:space="preserve"> </v>
      </c>
      <c r="H21" s="95" t="str">
        <f>IF(ING!E22=0," ",ING!E22)</f>
        <v xml:space="preserve"> </v>
      </c>
      <c r="I21" s="48">
        <f>IF('C.SOC'!C22=0," ",'C.SOC'!C22)</f>
        <v>35</v>
      </c>
      <c r="J21" s="48" t="str">
        <f>IF('C.SOC'!D22=0," ",'C.SOC'!D22)</f>
        <v xml:space="preserve"> </v>
      </c>
      <c r="K21" s="95" t="str">
        <f>IF('C.SOC'!E22=0," ",'C.SOC'!E22)</f>
        <v xml:space="preserve"> </v>
      </c>
      <c r="L21" s="48">
        <f>IF('E. FIS.'!C22=0," ",'E. FIS.'!C22)</f>
        <v>70</v>
      </c>
      <c r="M21" s="48" t="str">
        <f>IF('E. FIS.'!D22=0," ",'E. FIS.'!D22)</f>
        <v xml:space="preserve"> </v>
      </c>
      <c r="N21" s="95" t="str">
        <f>IF('E. FIS.'!E22=0," ",'E. FIS.'!E22)</f>
        <v xml:space="preserve"> </v>
      </c>
      <c r="O21" s="48">
        <f>IF(MUS.!C22=0," ",MUS.!C22)</f>
        <v>54</v>
      </c>
      <c r="P21" s="48" t="str">
        <f>IF(MUS.!D22=0," ",MUS.!D22)</f>
        <v xml:space="preserve"> </v>
      </c>
      <c r="Q21" s="95" t="str">
        <f>IF(MUS.!E22=0," ",MUS.!E22)</f>
        <v xml:space="preserve"> </v>
      </c>
      <c r="R21" s="96">
        <f>IF('A.PL. '!C22=0," ",'A.PL. '!C22)</f>
        <v>55</v>
      </c>
      <c r="S21" s="48" t="str">
        <f>IF('A.PL. '!D22=0," ",'A.PL. '!D22)</f>
        <v xml:space="preserve"> </v>
      </c>
      <c r="T21" s="95" t="str">
        <f>IF('A.PL. '!E22=0," ",'A.PL. '!E22)</f>
        <v xml:space="preserve"> </v>
      </c>
      <c r="U21" s="96">
        <f>IF(MAT!C22=0," ",MAT!C22)</f>
        <v>52</v>
      </c>
      <c r="V21" s="48" t="str">
        <f>IF(MAT!D22=0," ",MAT!D22)</f>
        <v xml:space="preserve"> </v>
      </c>
      <c r="W21" s="95" t="str">
        <f>IF(MAT!E22=0," ",MAT!E22)</f>
        <v xml:space="preserve"> </v>
      </c>
      <c r="X21" s="96">
        <f>IF('T. TEC. GRAL'!C22=0," ",'T. TEC. GRAL'!C22)</f>
        <v>47</v>
      </c>
      <c r="Y21" s="48" t="str">
        <f>IF('T. TEC. GRAL'!D22=0," ",'T. TEC. GRAL'!D22)</f>
        <v xml:space="preserve"> </v>
      </c>
      <c r="Z21" s="95" t="str">
        <f>IF('T. TEC. GRAL'!E22=0," ",'T. TEC. GRAL'!E22)</f>
        <v xml:space="preserve"> </v>
      </c>
      <c r="AA21" s="96">
        <f>IF('BIO-GEO'!C22=0," ",'BIO-GEO'!C22)</f>
        <v>35</v>
      </c>
      <c r="AB21" s="48" t="str">
        <f>IF('BIO-GEO'!D22=0," ",'BIO-GEO'!D22)</f>
        <v xml:space="preserve"> </v>
      </c>
      <c r="AC21" s="95" t="str">
        <f>IF('BIO-GEO'!E22=0," ",'BIO-GEO'!E22)</f>
        <v xml:space="preserve"> </v>
      </c>
      <c r="AD21" s="92">
        <f>IF(PSI!C22=0," ",PSI!C22)</f>
        <v>49</v>
      </c>
      <c r="AE21" s="48" t="str">
        <f>IF(PSI!D22=0," ",PSI!D22)</f>
        <v xml:space="preserve"> </v>
      </c>
      <c r="AF21" s="95" t="str">
        <f>IF(PSI!E22=0," ",PSI!E22)</f>
        <v xml:space="preserve"> </v>
      </c>
      <c r="AG21" s="96">
        <f>IF('REL.'!C22=0," ",'REL.'!C22)</f>
        <v>68.416666666666671</v>
      </c>
      <c r="AH21" s="48" t="str">
        <f>IF('REL.'!D22=0," ",'REL.'!D22)</f>
        <v xml:space="preserve"> </v>
      </c>
      <c r="AI21" s="95" t="str">
        <f>IF('REL.'!E22=0," ",'REL.'!E22)</f>
        <v xml:space="preserve"> </v>
      </c>
      <c r="AL21" s="239">
        <f t="shared" si="0"/>
        <v>49.946969696969695</v>
      </c>
      <c r="AM21" s="239">
        <f t="shared" si="1"/>
        <v>0</v>
      </c>
      <c r="AN21" s="239">
        <f t="shared" si="2"/>
        <v>0</v>
      </c>
    </row>
    <row r="22" spans="1:40">
      <c r="A22" s="60">
        <f>NOMINA!A23</f>
        <v>18</v>
      </c>
      <c r="B22" s="129" t="str">
        <f>NOMINA!B23</f>
        <v>JOVE ARNEZ ANDREA LUCIANA</v>
      </c>
      <c r="C22" s="48">
        <f>IF(LEN!C23=0," ",LEN!C23)</f>
        <v>52</v>
      </c>
      <c r="D22" s="48" t="str">
        <f>IF(LEN!D23=0," ",LEN!D23)</f>
        <v xml:space="preserve"> </v>
      </c>
      <c r="E22" s="95" t="str">
        <f>IF(LEN!E23=0," ",LEN!E23)</f>
        <v xml:space="preserve"> </v>
      </c>
      <c r="F22" s="48">
        <f>IF(ING!C23=0," ",ING!C23)</f>
        <v>41</v>
      </c>
      <c r="G22" s="48" t="str">
        <f>IF(ING!D23=0," ",ING!D23)</f>
        <v xml:space="preserve"> </v>
      </c>
      <c r="H22" s="95" t="str">
        <f>IF(ING!E23=0," ",ING!E23)</f>
        <v xml:space="preserve"> </v>
      </c>
      <c r="I22" s="48">
        <f>IF('C.SOC'!C23=0," ",'C.SOC'!C23)</f>
        <v>68</v>
      </c>
      <c r="J22" s="48" t="str">
        <f>IF('C.SOC'!D23=0," ",'C.SOC'!D23)</f>
        <v xml:space="preserve"> </v>
      </c>
      <c r="K22" s="95" t="str">
        <f>IF('C.SOC'!E23=0," ",'C.SOC'!E23)</f>
        <v xml:space="preserve"> </v>
      </c>
      <c r="L22" s="48">
        <f>IF('E. FIS.'!C23=0," ",'E. FIS.'!C23)</f>
        <v>38</v>
      </c>
      <c r="M22" s="48" t="str">
        <f>IF('E. FIS.'!D23=0," ",'E. FIS.'!D23)</f>
        <v xml:space="preserve"> </v>
      </c>
      <c r="N22" s="95" t="str">
        <f>IF('E. FIS.'!E23=0," ",'E. FIS.'!E23)</f>
        <v xml:space="preserve"> </v>
      </c>
      <c r="O22" s="48">
        <f>IF(MUS.!C23=0," ",MUS.!C23)</f>
        <v>40</v>
      </c>
      <c r="P22" s="48" t="str">
        <f>IF(MUS.!D23=0," ",MUS.!D23)</f>
        <v xml:space="preserve"> </v>
      </c>
      <c r="Q22" s="95" t="str">
        <f>IF(MUS.!E23=0," ",MUS.!E23)</f>
        <v xml:space="preserve"> </v>
      </c>
      <c r="R22" s="96">
        <f>IF('A.PL. '!C23=0," ",'A.PL. '!C23)</f>
        <v>56</v>
      </c>
      <c r="S22" s="48" t="str">
        <f>IF('A.PL. '!D23=0," ",'A.PL. '!D23)</f>
        <v xml:space="preserve"> </v>
      </c>
      <c r="T22" s="95" t="str">
        <f>IF('A.PL. '!E23=0," ",'A.PL. '!E23)</f>
        <v xml:space="preserve"> </v>
      </c>
      <c r="U22" s="96">
        <f>IF(MAT!C23=0," ",MAT!C23)</f>
        <v>59</v>
      </c>
      <c r="V22" s="48" t="str">
        <f>IF(MAT!D23=0," ",MAT!D23)</f>
        <v xml:space="preserve"> </v>
      </c>
      <c r="W22" s="95" t="str">
        <f>IF(MAT!E23=0," ",MAT!E23)</f>
        <v xml:space="preserve"> </v>
      </c>
      <c r="X22" s="96">
        <f>IF('T. TEC. GRAL'!C23=0," ",'T. TEC. GRAL'!C23)</f>
        <v>66</v>
      </c>
      <c r="Y22" s="48" t="str">
        <f>IF('T. TEC. GRAL'!D23=0," ",'T. TEC. GRAL'!D23)</f>
        <v xml:space="preserve"> </v>
      </c>
      <c r="Z22" s="95" t="str">
        <f>IF('T. TEC. GRAL'!E23=0," ",'T. TEC. GRAL'!E23)</f>
        <v xml:space="preserve"> </v>
      </c>
      <c r="AA22" s="96">
        <f>IF('BIO-GEO'!C23=0," ",'BIO-GEO'!C23)</f>
        <v>51</v>
      </c>
      <c r="AB22" s="48" t="str">
        <f>IF('BIO-GEO'!D23=0," ",'BIO-GEO'!D23)</f>
        <v xml:space="preserve"> </v>
      </c>
      <c r="AC22" s="95" t="str">
        <f>IF('BIO-GEO'!E23=0," ",'BIO-GEO'!E23)</f>
        <v xml:space="preserve"> </v>
      </c>
      <c r="AD22" s="92">
        <f>IF(PSI!C23=0," ",PSI!C23)</f>
        <v>80</v>
      </c>
      <c r="AE22" s="48" t="str">
        <f>IF(PSI!D23=0," ",PSI!D23)</f>
        <v xml:space="preserve"> </v>
      </c>
      <c r="AF22" s="95" t="str">
        <f>IF(PSI!E23=0," ",PSI!E23)</f>
        <v xml:space="preserve"> </v>
      </c>
      <c r="AG22" s="96">
        <f>IF('REL.'!C23=0," ",'REL.'!C23)</f>
        <v>54.166666666666671</v>
      </c>
      <c r="AH22" s="48" t="str">
        <f>IF('REL.'!D23=0," ",'REL.'!D23)</f>
        <v xml:space="preserve"> </v>
      </c>
      <c r="AI22" s="95" t="str">
        <f>IF('REL.'!E23=0," ",'REL.'!E23)</f>
        <v xml:space="preserve"> </v>
      </c>
      <c r="AL22" s="239">
        <f t="shared" si="0"/>
        <v>55.015151515151508</v>
      </c>
      <c r="AM22" s="239">
        <f t="shared" si="1"/>
        <v>0</v>
      </c>
      <c r="AN22" s="239">
        <f t="shared" si="2"/>
        <v>0</v>
      </c>
    </row>
    <row r="23" spans="1:40">
      <c r="A23" s="60">
        <f>NOMINA!A24</f>
        <v>19</v>
      </c>
      <c r="B23" s="129" t="str">
        <f>NOMINA!B24</f>
        <v>LAFUENTE ORTUÑO VICTORIA VALENTINA</v>
      </c>
      <c r="C23" s="48">
        <f>IF(LEN!C24=0," ",LEN!C24)</f>
        <v>41</v>
      </c>
      <c r="D23" s="48" t="str">
        <f>IF(LEN!D24=0," ",LEN!D24)</f>
        <v xml:space="preserve"> </v>
      </c>
      <c r="E23" s="95" t="str">
        <f>IF(LEN!E24=0," ",LEN!E24)</f>
        <v xml:space="preserve"> </v>
      </c>
      <c r="F23" s="48">
        <f>IF(ING!C24=0," ",ING!C24)</f>
        <v>52</v>
      </c>
      <c r="G23" s="48" t="str">
        <f>IF(ING!D24=0," ",ING!D24)</f>
        <v xml:space="preserve"> </v>
      </c>
      <c r="H23" s="95" t="str">
        <f>IF(ING!E24=0," ",ING!E24)</f>
        <v xml:space="preserve"> </v>
      </c>
      <c r="I23" s="48">
        <f>IF('C.SOC'!C24=0," ",'C.SOC'!C24)</f>
        <v>35</v>
      </c>
      <c r="J23" s="48" t="str">
        <f>IF('C.SOC'!D24=0," ",'C.SOC'!D24)</f>
        <v xml:space="preserve"> </v>
      </c>
      <c r="K23" s="95" t="str">
        <f>IF('C.SOC'!E24=0," ",'C.SOC'!E24)</f>
        <v xml:space="preserve"> </v>
      </c>
      <c r="L23" s="48">
        <f>IF('E. FIS.'!C24=0," ",'E. FIS.'!C24)</f>
        <v>65</v>
      </c>
      <c r="M23" s="48" t="str">
        <f>IF('E. FIS.'!D24=0," ",'E. FIS.'!D24)</f>
        <v xml:space="preserve"> </v>
      </c>
      <c r="N23" s="95" t="str">
        <f>IF('E. FIS.'!E24=0," ",'E. FIS.'!E24)</f>
        <v xml:space="preserve"> </v>
      </c>
      <c r="O23" s="48">
        <f>IF(MUS.!C24=0," ",MUS.!C24)</f>
        <v>45</v>
      </c>
      <c r="P23" s="48" t="str">
        <f>IF(MUS.!D24=0," ",MUS.!D24)</f>
        <v xml:space="preserve"> </v>
      </c>
      <c r="Q23" s="95" t="str">
        <f>IF(MUS.!E24=0," ",MUS.!E24)</f>
        <v xml:space="preserve"> </v>
      </c>
      <c r="R23" s="96">
        <f>IF('A.PL. '!C24=0," ",'A.PL. '!C24)</f>
        <v>51</v>
      </c>
      <c r="S23" s="48" t="str">
        <f>IF('A.PL. '!D24=0," ",'A.PL. '!D24)</f>
        <v xml:space="preserve"> </v>
      </c>
      <c r="T23" s="95" t="str">
        <f>IF('A.PL. '!E24=0," ",'A.PL. '!E24)</f>
        <v xml:space="preserve"> </v>
      </c>
      <c r="U23" s="96">
        <f>IF(MAT!C24=0," ",MAT!C24)</f>
        <v>46</v>
      </c>
      <c r="V23" s="48" t="str">
        <f>IF(MAT!D24=0," ",MAT!D24)</f>
        <v xml:space="preserve"> </v>
      </c>
      <c r="W23" s="95" t="str">
        <f>IF(MAT!E24=0," ",MAT!E24)</f>
        <v xml:space="preserve"> </v>
      </c>
      <c r="X23" s="96">
        <f>IF('T. TEC. GRAL'!C24=0," ",'T. TEC. GRAL'!C24)</f>
        <v>56</v>
      </c>
      <c r="Y23" s="48" t="str">
        <f>IF('T. TEC. GRAL'!D24=0," ",'T. TEC. GRAL'!D24)</f>
        <v xml:space="preserve"> </v>
      </c>
      <c r="Z23" s="95" t="str">
        <f>IF('T. TEC. GRAL'!E24=0," ",'T. TEC. GRAL'!E24)</f>
        <v xml:space="preserve"> </v>
      </c>
      <c r="AA23" s="96">
        <f>IF('BIO-GEO'!C24=0," ",'BIO-GEO'!C24)</f>
        <v>51</v>
      </c>
      <c r="AB23" s="48" t="str">
        <f>IF('BIO-GEO'!D24=0," ",'BIO-GEO'!D24)</f>
        <v xml:space="preserve"> </v>
      </c>
      <c r="AC23" s="95" t="str">
        <f>IF('BIO-GEO'!E24=0," ",'BIO-GEO'!E24)</f>
        <v xml:space="preserve"> </v>
      </c>
      <c r="AD23" s="92">
        <f>IF(PSI!C24=0," ",PSI!C24)</f>
        <v>54</v>
      </c>
      <c r="AE23" s="48" t="str">
        <f>IF(PSI!D24=0," ",PSI!D24)</f>
        <v xml:space="preserve"> </v>
      </c>
      <c r="AF23" s="95" t="str">
        <f>IF(PSI!E24=0," ",PSI!E24)</f>
        <v xml:space="preserve"> </v>
      </c>
      <c r="AG23" s="96">
        <f>IF('REL.'!C24=0," ",'REL.'!C24)</f>
        <v>58</v>
      </c>
      <c r="AH23" s="48" t="str">
        <f>IF('REL.'!D24=0," ",'REL.'!D24)</f>
        <v xml:space="preserve"> </v>
      </c>
      <c r="AI23" s="95" t="str">
        <f>IF('REL.'!E24=0," ",'REL.'!E24)</f>
        <v xml:space="preserve"> </v>
      </c>
      <c r="AL23" s="239">
        <f t="shared" si="0"/>
        <v>50.363636363636367</v>
      </c>
      <c r="AM23" s="239">
        <f t="shared" si="1"/>
        <v>0</v>
      </c>
      <c r="AN23" s="239">
        <f t="shared" si="2"/>
        <v>0</v>
      </c>
    </row>
    <row r="24" spans="1:40">
      <c r="A24" s="60">
        <f>NOMINA!A25</f>
        <v>20</v>
      </c>
      <c r="B24" s="129" t="str">
        <f>NOMINA!B25</f>
        <v>MAGNANI CANAVIRI JOSUE JHONATHAN</v>
      </c>
      <c r="C24" s="48">
        <f>IF(LEN!C25=0," ",LEN!C25)</f>
        <v>60</v>
      </c>
      <c r="D24" s="48" t="str">
        <f>IF(LEN!D25=0," ",LEN!D25)</f>
        <v xml:space="preserve"> </v>
      </c>
      <c r="E24" s="95" t="str">
        <f>IF(LEN!E25=0," ",LEN!E25)</f>
        <v xml:space="preserve"> </v>
      </c>
      <c r="F24" s="48">
        <f>IF(ING!C25=0," ",ING!C25)</f>
        <v>52</v>
      </c>
      <c r="G24" s="48" t="str">
        <f>IF(ING!D25=0," ",ING!D25)</f>
        <v xml:space="preserve"> </v>
      </c>
      <c r="H24" s="95" t="str">
        <f>IF(ING!E25=0," ",ING!E25)</f>
        <v xml:space="preserve"> </v>
      </c>
      <c r="I24" s="48">
        <f>IF('C.SOC'!C25=0," ",'C.SOC'!C25)</f>
        <v>40</v>
      </c>
      <c r="J24" s="48" t="str">
        <f>IF('C.SOC'!D25=0," ",'C.SOC'!D25)</f>
        <v xml:space="preserve"> </v>
      </c>
      <c r="K24" s="95" t="str">
        <f>IF('C.SOC'!E25=0," ",'C.SOC'!E25)</f>
        <v xml:space="preserve"> </v>
      </c>
      <c r="L24" s="48">
        <f>IF('E. FIS.'!C25=0," ",'E. FIS.'!C25)</f>
        <v>77</v>
      </c>
      <c r="M24" s="48" t="str">
        <f>IF('E. FIS.'!D25=0," ",'E. FIS.'!D25)</f>
        <v xml:space="preserve"> </v>
      </c>
      <c r="N24" s="95" t="str">
        <f>IF('E. FIS.'!E25=0," ",'E. FIS.'!E25)</f>
        <v xml:space="preserve"> </v>
      </c>
      <c r="O24" s="48">
        <f>IF(MUS.!C25=0," ",MUS.!C25)</f>
        <v>78</v>
      </c>
      <c r="P24" s="48" t="str">
        <f>IF(MUS.!D25=0," ",MUS.!D25)</f>
        <v xml:space="preserve"> </v>
      </c>
      <c r="Q24" s="95" t="str">
        <f>IF(MUS.!E25=0," ",MUS.!E25)</f>
        <v xml:space="preserve"> </v>
      </c>
      <c r="R24" s="96">
        <f>IF('A.PL. '!C25=0," ",'A.PL. '!C25)</f>
        <v>73</v>
      </c>
      <c r="S24" s="48" t="str">
        <f>IF('A.PL. '!D25=0," ",'A.PL. '!D25)</f>
        <v xml:space="preserve"> </v>
      </c>
      <c r="T24" s="95" t="str">
        <f>IF('A.PL. '!E25=0," ",'A.PL. '!E25)</f>
        <v xml:space="preserve"> </v>
      </c>
      <c r="U24" s="96">
        <f>IF(MAT!C25=0," ",MAT!C25)</f>
        <v>59</v>
      </c>
      <c r="V24" s="48" t="str">
        <f>IF(MAT!D25=0," ",MAT!D25)</f>
        <v xml:space="preserve"> </v>
      </c>
      <c r="W24" s="95" t="str">
        <f>IF(MAT!E25=0," ",MAT!E25)</f>
        <v xml:space="preserve"> </v>
      </c>
      <c r="X24" s="96">
        <f>IF('T. TEC. GRAL'!C25=0," ",'T. TEC. GRAL'!C25)</f>
        <v>60</v>
      </c>
      <c r="Y24" s="48" t="str">
        <f>IF('T. TEC. GRAL'!D25=0," ",'T. TEC. GRAL'!D25)</f>
        <v xml:space="preserve"> </v>
      </c>
      <c r="Z24" s="95" t="str">
        <f>IF('T. TEC. GRAL'!E25=0," ",'T. TEC. GRAL'!E25)</f>
        <v xml:space="preserve"> </v>
      </c>
      <c r="AA24" s="96">
        <f>IF('BIO-GEO'!C25=0," ",'BIO-GEO'!C25)</f>
        <v>69</v>
      </c>
      <c r="AB24" s="48" t="str">
        <f>IF('BIO-GEO'!D25=0," ",'BIO-GEO'!D25)</f>
        <v xml:space="preserve"> </v>
      </c>
      <c r="AC24" s="95" t="str">
        <f>IF('BIO-GEO'!E25=0," ",'BIO-GEO'!E25)</f>
        <v xml:space="preserve"> </v>
      </c>
      <c r="AD24" s="92">
        <f>IF(PSI!C25=0," ",PSI!C25)</f>
        <v>59</v>
      </c>
      <c r="AE24" s="48" t="str">
        <f>IF(PSI!D25=0," ",PSI!D25)</f>
        <v xml:space="preserve"> </v>
      </c>
      <c r="AF24" s="95" t="str">
        <f>IF(PSI!E25=0," ",PSI!E25)</f>
        <v xml:space="preserve"> </v>
      </c>
      <c r="AG24" s="96">
        <f>IF('REL.'!C25=0," ",'REL.'!C25)</f>
        <v>66.75</v>
      </c>
      <c r="AH24" s="48" t="str">
        <f>IF('REL.'!D25=0," ",'REL.'!D25)</f>
        <v xml:space="preserve"> </v>
      </c>
      <c r="AI24" s="95" t="str">
        <f>IF('REL.'!E25=0," ",'REL.'!E25)</f>
        <v xml:space="preserve"> </v>
      </c>
      <c r="AL24" s="239">
        <f t="shared" si="0"/>
        <v>63.06818181818182</v>
      </c>
      <c r="AM24" s="239">
        <f t="shared" si="1"/>
        <v>0</v>
      </c>
      <c r="AN24" s="239">
        <f t="shared" si="2"/>
        <v>0</v>
      </c>
    </row>
    <row r="25" spans="1:40">
      <c r="A25" s="60">
        <f>NOMINA!A26</f>
        <v>21</v>
      </c>
      <c r="B25" s="129" t="str">
        <f>NOMINA!B26</f>
        <v>MERUVIA GUTIERREZ ASHLY SCARLETT</v>
      </c>
      <c r="C25" s="48">
        <f>IF(LEN!C26=0," ",LEN!C26)</f>
        <v>96</v>
      </c>
      <c r="D25" s="48" t="str">
        <f>IF(LEN!D26=0," ",LEN!D26)</f>
        <v xml:space="preserve"> </v>
      </c>
      <c r="E25" s="95" t="str">
        <f>IF(LEN!E26=0," ",LEN!E26)</f>
        <v xml:space="preserve"> </v>
      </c>
      <c r="F25" s="48">
        <f>IF(ING!C26=0," ",ING!C26)</f>
        <v>92</v>
      </c>
      <c r="G25" s="48" t="str">
        <f>IF(ING!D26=0," ",ING!D26)</f>
        <v xml:space="preserve"> </v>
      </c>
      <c r="H25" s="95" t="str">
        <f>IF(ING!E26=0," ",ING!E26)</f>
        <v xml:space="preserve"> </v>
      </c>
      <c r="I25" s="48">
        <f>IF('C.SOC'!C26=0," ",'C.SOC'!C26)</f>
        <v>92</v>
      </c>
      <c r="J25" s="48" t="str">
        <f>IF('C.SOC'!D26=0," ",'C.SOC'!D26)</f>
        <v xml:space="preserve"> </v>
      </c>
      <c r="K25" s="95" t="str">
        <f>IF('C.SOC'!E26=0," ",'C.SOC'!E26)</f>
        <v xml:space="preserve"> </v>
      </c>
      <c r="L25" s="48">
        <f>IF('E. FIS.'!C26=0," ",'E. FIS.'!C26)</f>
        <v>85</v>
      </c>
      <c r="M25" s="48" t="str">
        <f>IF('E. FIS.'!D26=0," ",'E. FIS.'!D26)</f>
        <v xml:space="preserve"> </v>
      </c>
      <c r="N25" s="95" t="str">
        <f>IF('E. FIS.'!E26=0," ",'E. FIS.'!E26)</f>
        <v xml:space="preserve"> </v>
      </c>
      <c r="O25" s="48">
        <f>IF(MUS.!C26=0," ",MUS.!C26)</f>
        <v>99</v>
      </c>
      <c r="P25" s="48" t="str">
        <f>IF(MUS.!D26=0," ",MUS.!D26)</f>
        <v xml:space="preserve"> </v>
      </c>
      <c r="Q25" s="95" t="str">
        <f>IF(MUS.!E26=0," ",MUS.!E26)</f>
        <v xml:space="preserve"> </v>
      </c>
      <c r="R25" s="96">
        <f>IF('A.PL. '!C26=0," ",'A.PL. '!C26)</f>
        <v>89</v>
      </c>
      <c r="S25" s="48" t="str">
        <f>IF('A.PL. '!D26=0," ",'A.PL. '!D26)</f>
        <v xml:space="preserve"> </v>
      </c>
      <c r="T25" s="95" t="str">
        <f>IF('A.PL. '!E26=0," ",'A.PL. '!E26)</f>
        <v xml:space="preserve"> </v>
      </c>
      <c r="U25" s="96">
        <f>IF(MAT!C26=0," ",MAT!C26)</f>
        <v>98</v>
      </c>
      <c r="V25" s="48" t="str">
        <f>IF(MAT!D26=0," ",MAT!D26)</f>
        <v xml:space="preserve"> </v>
      </c>
      <c r="W25" s="95" t="str">
        <f>IF(MAT!E26=0," ",MAT!E26)</f>
        <v xml:space="preserve"> </v>
      </c>
      <c r="X25" s="96">
        <f>IF('T. TEC. GRAL'!C26=0," ",'T. TEC. GRAL'!C26)</f>
        <v>94</v>
      </c>
      <c r="Y25" s="48" t="str">
        <f>IF('T. TEC. GRAL'!D26=0," ",'T. TEC. GRAL'!D26)</f>
        <v xml:space="preserve"> </v>
      </c>
      <c r="Z25" s="95" t="str">
        <f>IF('T. TEC. GRAL'!E26=0," ",'T. TEC. GRAL'!E26)</f>
        <v xml:space="preserve"> </v>
      </c>
      <c r="AA25" s="96">
        <f>IF('BIO-GEO'!C26=0," ",'BIO-GEO'!C26)</f>
        <v>90</v>
      </c>
      <c r="AB25" s="48" t="str">
        <f>IF('BIO-GEO'!D26=0," ",'BIO-GEO'!D26)</f>
        <v xml:space="preserve"> </v>
      </c>
      <c r="AC25" s="95" t="str">
        <f>IF('BIO-GEO'!E26=0," ",'BIO-GEO'!E26)</f>
        <v xml:space="preserve"> </v>
      </c>
      <c r="AD25" s="92">
        <f>IF(PSI!C26=0," ",PSI!C26)</f>
        <v>86</v>
      </c>
      <c r="AE25" s="48" t="str">
        <f>IF(PSI!D26=0," ",PSI!D26)</f>
        <v xml:space="preserve"> </v>
      </c>
      <c r="AF25" s="95" t="str">
        <f>IF(PSI!E26=0," ",PSI!E26)</f>
        <v xml:space="preserve"> </v>
      </c>
      <c r="AG25" s="96">
        <f>IF('REL.'!C26=0," ",'REL.'!C26)</f>
        <v>93.666666666666657</v>
      </c>
      <c r="AH25" s="48" t="str">
        <f>IF('REL.'!D26=0," ",'REL.'!D26)</f>
        <v xml:space="preserve"> </v>
      </c>
      <c r="AI25" s="95" t="str">
        <f>IF('REL.'!E26=0," ",'REL.'!E26)</f>
        <v xml:space="preserve"> </v>
      </c>
      <c r="AL25" s="239">
        <f t="shared" si="0"/>
        <v>92.242424242424235</v>
      </c>
      <c r="AM25" s="239">
        <f t="shared" si="1"/>
        <v>0</v>
      </c>
      <c r="AN25" s="239">
        <f t="shared" si="2"/>
        <v>0</v>
      </c>
    </row>
    <row r="26" spans="1:40">
      <c r="A26" s="60">
        <f>NOMINA!A27</f>
        <v>22</v>
      </c>
      <c r="B26" s="129" t="str">
        <f>NOMINA!B27</f>
        <v>MONTAÑO QUILO BENJAMIN GONZALO</v>
      </c>
      <c r="C26" s="48">
        <f>IF(LEN!C27=0," ",LEN!C27)</f>
        <v>44</v>
      </c>
      <c r="D26" s="48" t="str">
        <f>IF(LEN!D27=0," ",LEN!D27)</f>
        <v xml:space="preserve"> </v>
      </c>
      <c r="E26" s="95" t="str">
        <f>IF(LEN!E27=0," ",LEN!E27)</f>
        <v xml:space="preserve"> </v>
      </c>
      <c r="F26" s="48">
        <f>IF(ING!C27=0," ",ING!C27)</f>
        <v>48</v>
      </c>
      <c r="G26" s="48" t="str">
        <f>IF(ING!D27=0," ",ING!D27)</f>
        <v xml:space="preserve"> </v>
      </c>
      <c r="H26" s="95" t="str">
        <f>IF(ING!E27=0," ",ING!E27)</f>
        <v xml:space="preserve"> </v>
      </c>
      <c r="I26" s="48">
        <f>IF('C.SOC'!C27=0," ",'C.SOC'!C27)</f>
        <v>40</v>
      </c>
      <c r="J26" s="48" t="str">
        <f>IF('C.SOC'!D27=0," ",'C.SOC'!D27)</f>
        <v xml:space="preserve"> </v>
      </c>
      <c r="K26" s="95" t="str">
        <f>IF('C.SOC'!E27=0," ",'C.SOC'!E27)</f>
        <v xml:space="preserve"> </v>
      </c>
      <c r="L26" s="48">
        <f>IF('E. FIS.'!C27=0," ",'E. FIS.'!C27)</f>
        <v>64</v>
      </c>
      <c r="M26" s="48" t="str">
        <f>IF('E. FIS.'!D27=0," ",'E. FIS.'!D27)</f>
        <v xml:space="preserve"> </v>
      </c>
      <c r="N26" s="95" t="str">
        <f>IF('E. FIS.'!E27=0," ",'E. FIS.'!E27)</f>
        <v xml:space="preserve"> </v>
      </c>
      <c r="O26" s="48">
        <f>IF(MUS.!C27=0," ",MUS.!C27)</f>
        <v>45</v>
      </c>
      <c r="P26" s="48" t="str">
        <f>IF(MUS.!D27=0," ",MUS.!D27)</f>
        <v xml:space="preserve"> </v>
      </c>
      <c r="Q26" s="95" t="str">
        <f>IF(MUS.!E27=0," ",MUS.!E27)</f>
        <v xml:space="preserve"> </v>
      </c>
      <c r="R26" s="96">
        <f>IF('A.PL. '!C27=0," ",'A.PL. '!C27)</f>
        <v>58</v>
      </c>
      <c r="S26" s="48" t="str">
        <f>IF('A.PL. '!D27=0," ",'A.PL. '!D27)</f>
        <v xml:space="preserve"> </v>
      </c>
      <c r="T26" s="95" t="str">
        <f>IF('A.PL. '!E27=0," ",'A.PL. '!E27)</f>
        <v xml:space="preserve"> </v>
      </c>
      <c r="U26" s="96">
        <f>IF(MAT!C27=0," ",MAT!C27)</f>
        <v>48</v>
      </c>
      <c r="V26" s="48" t="str">
        <f>IF(MAT!D27=0," ",MAT!D27)</f>
        <v xml:space="preserve"> </v>
      </c>
      <c r="W26" s="95" t="str">
        <f>IF(MAT!E27=0," ",MAT!E27)</f>
        <v xml:space="preserve"> </v>
      </c>
      <c r="X26" s="96">
        <f>IF('T. TEC. GRAL'!C27=0," ",'T. TEC. GRAL'!C27)</f>
        <v>55</v>
      </c>
      <c r="Y26" s="48" t="str">
        <f>IF('T. TEC. GRAL'!D27=0," ",'T. TEC. GRAL'!D27)</f>
        <v xml:space="preserve"> </v>
      </c>
      <c r="Z26" s="95" t="str">
        <f>IF('T. TEC. GRAL'!E27=0," ",'T. TEC. GRAL'!E27)</f>
        <v xml:space="preserve"> </v>
      </c>
      <c r="AA26" s="96">
        <f>IF('BIO-GEO'!C27=0," ",'BIO-GEO'!C27)</f>
        <v>56</v>
      </c>
      <c r="AB26" s="48" t="str">
        <f>IF('BIO-GEO'!D27=0," ",'BIO-GEO'!D27)</f>
        <v xml:space="preserve"> </v>
      </c>
      <c r="AC26" s="95" t="str">
        <f>IF('BIO-GEO'!E27=0," ",'BIO-GEO'!E27)</f>
        <v xml:space="preserve"> </v>
      </c>
      <c r="AD26" s="92">
        <f>IF(PSI!C27=0," ",PSI!C27)</f>
        <v>41</v>
      </c>
      <c r="AE26" s="48" t="str">
        <f>IF(PSI!D27=0," ",PSI!D27)</f>
        <v xml:space="preserve"> </v>
      </c>
      <c r="AF26" s="95" t="str">
        <f>IF(PSI!E27=0," ",PSI!E27)</f>
        <v xml:space="preserve"> </v>
      </c>
      <c r="AG26" s="96">
        <f>IF('REL.'!C27=0," ",'REL.'!C27)</f>
        <v>58.833333333333329</v>
      </c>
      <c r="AH26" s="48" t="str">
        <f>IF('REL.'!D27=0," ",'REL.'!D27)</f>
        <v xml:space="preserve"> </v>
      </c>
      <c r="AI26" s="95" t="str">
        <f>IF('REL.'!E27=0," ",'REL.'!E27)</f>
        <v xml:space="preserve"> </v>
      </c>
      <c r="AL26" s="239">
        <f t="shared" si="0"/>
        <v>50.712121212121218</v>
      </c>
      <c r="AM26" s="239">
        <f t="shared" si="1"/>
        <v>0</v>
      </c>
      <c r="AN26" s="239">
        <f t="shared" si="2"/>
        <v>0</v>
      </c>
    </row>
    <row r="27" spans="1:40">
      <c r="A27" s="60">
        <f>NOMINA!A28</f>
        <v>23</v>
      </c>
      <c r="B27" s="129" t="str">
        <f>NOMINA!B28</f>
        <v>PANIAGUA VARGAS KEYLA</v>
      </c>
      <c r="C27" s="48">
        <f>IF(LEN!C28=0," ",LEN!C28)</f>
        <v>57</v>
      </c>
      <c r="D27" s="48" t="str">
        <f>IF(LEN!D28=0," ",LEN!D28)</f>
        <v xml:space="preserve"> </v>
      </c>
      <c r="E27" s="95" t="str">
        <f>IF(LEN!E28=0," ",LEN!E28)</f>
        <v xml:space="preserve"> </v>
      </c>
      <c r="F27" s="48">
        <f>IF(ING!C28=0," ",ING!C28)</f>
        <v>68</v>
      </c>
      <c r="G27" s="48" t="str">
        <f>IF(ING!D28=0," ",ING!D28)</f>
        <v xml:space="preserve"> </v>
      </c>
      <c r="H27" s="95" t="str">
        <f>IF(ING!E28=0," ",ING!E28)</f>
        <v xml:space="preserve"> </v>
      </c>
      <c r="I27" s="48">
        <f>IF('C.SOC'!C28=0," ",'C.SOC'!C28)</f>
        <v>66</v>
      </c>
      <c r="J27" s="48" t="str">
        <f>IF('C.SOC'!D28=0," ",'C.SOC'!D28)</f>
        <v xml:space="preserve"> </v>
      </c>
      <c r="K27" s="95" t="str">
        <f>IF('C.SOC'!E28=0," ",'C.SOC'!E28)</f>
        <v xml:space="preserve"> </v>
      </c>
      <c r="L27" s="48">
        <f>IF('E. FIS.'!C28=0," ",'E. FIS.'!C28)</f>
        <v>79</v>
      </c>
      <c r="M27" s="48" t="str">
        <f>IF('E. FIS.'!D28=0," ",'E. FIS.'!D28)</f>
        <v xml:space="preserve"> </v>
      </c>
      <c r="N27" s="95" t="str">
        <f>IF('E. FIS.'!E28=0," ",'E. FIS.'!E28)</f>
        <v xml:space="preserve"> </v>
      </c>
      <c r="O27" s="48">
        <f>IF(MUS.!C28=0," ",MUS.!C28)</f>
        <v>77</v>
      </c>
      <c r="P27" s="48" t="str">
        <f>IF(MUS.!D28=0," ",MUS.!D28)</f>
        <v xml:space="preserve"> </v>
      </c>
      <c r="Q27" s="95" t="str">
        <f>IF(MUS.!E28=0," ",MUS.!E28)</f>
        <v xml:space="preserve"> </v>
      </c>
      <c r="R27" s="96">
        <f>IF('A.PL. '!C28=0," ",'A.PL. '!C28)</f>
        <v>86</v>
      </c>
      <c r="S27" s="48" t="str">
        <f>IF('A.PL. '!D28=0," ",'A.PL. '!D28)</f>
        <v xml:space="preserve"> </v>
      </c>
      <c r="T27" s="95" t="str">
        <f>IF('A.PL. '!E28=0," ",'A.PL. '!E28)</f>
        <v xml:space="preserve"> </v>
      </c>
      <c r="U27" s="96">
        <f>IF(MAT!C28=0," ",MAT!C28)</f>
        <v>54</v>
      </c>
      <c r="V27" s="48" t="str">
        <f>IF(MAT!D28=0," ",MAT!D28)</f>
        <v xml:space="preserve"> </v>
      </c>
      <c r="W27" s="95" t="str">
        <f>IF(MAT!E28=0," ",MAT!E28)</f>
        <v xml:space="preserve"> </v>
      </c>
      <c r="X27" s="96">
        <f>IF('T. TEC. GRAL'!C28=0," ",'T. TEC. GRAL'!C28)</f>
        <v>60</v>
      </c>
      <c r="Y27" s="48" t="str">
        <f>IF('T. TEC. GRAL'!D28=0," ",'T. TEC. GRAL'!D28)</f>
        <v xml:space="preserve"> </v>
      </c>
      <c r="Z27" s="95" t="str">
        <f>IF('T. TEC. GRAL'!E28=0," ",'T. TEC. GRAL'!E28)</f>
        <v xml:space="preserve"> </v>
      </c>
      <c r="AA27" s="96">
        <f>IF('BIO-GEO'!C28=0," ",'BIO-GEO'!C28)</f>
        <v>73</v>
      </c>
      <c r="AB27" s="48" t="str">
        <f>IF('BIO-GEO'!D28=0," ",'BIO-GEO'!D28)</f>
        <v xml:space="preserve"> </v>
      </c>
      <c r="AC27" s="95" t="str">
        <f>IF('BIO-GEO'!E28=0," ",'BIO-GEO'!E28)</f>
        <v xml:space="preserve"> </v>
      </c>
      <c r="AD27" s="92">
        <f>IF(PSI!C28=0," ",PSI!C28)</f>
        <v>85</v>
      </c>
      <c r="AE27" s="48" t="str">
        <f>IF(PSI!D28=0," ",PSI!D28)</f>
        <v xml:space="preserve"> </v>
      </c>
      <c r="AF27" s="95" t="str">
        <f>IF(PSI!E28=0," ",PSI!E28)</f>
        <v xml:space="preserve"> </v>
      </c>
      <c r="AG27" s="96">
        <f>IF('REL.'!C28=0," ",'REL.'!C28)</f>
        <v>78.666666666666657</v>
      </c>
      <c r="AH27" s="48" t="str">
        <f>IF('REL.'!D28=0," ",'REL.'!D28)</f>
        <v xml:space="preserve"> </v>
      </c>
      <c r="AI27" s="95" t="str">
        <f>IF('REL.'!E28=0," ",'REL.'!E28)</f>
        <v xml:space="preserve"> </v>
      </c>
      <c r="AL27" s="239">
        <f t="shared" si="0"/>
        <v>71.242424242424235</v>
      </c>
      <c r="AM27" s="239">
        <f t="shared" si="1"/>
        <v>0</v>
      </c>
      <c r="AN27" s="239">
        <f t="shared" si="2"/>
        <v>0</v>
      </c>
    </row>
    <row r="28" spans="1:40">
      <c r="A28" s="60">
        <f>NOMINA!A29</f>
        <v>24</v>
      </c>
      <c r="B28" s="129" t="str">
        <f>NOMINA!B29</f>
        <v>PATZI GUARACHI MARIA BELEN</v>
      </c>
      <c r="C28" s="48">
        <f>IF(LEN!C29=0," ",LEN!C29)</f>
        <v>86</v>
      </c>
      <c r="D28" s="48" t="str">
        <f>IF(LEN!D29=0," ",LEN!D29)</f>
        <v xml:space="preserve"> </v>
      </c>
      <c r="E28" s="95" t="str">
        <f>IF(LEN!E29=0," ",LEN!E29)</f>
        <v xml:space="preserve"> </v>
      </c>
      <c r="F28" s="48">
        <f>IF(ING!C29=0," ",ING!C29)</f>
        <v>92</v>
      </c>
      <c r="G28" s="48" t="str">
        <f>IF(ING!D29=0," ",ING!D29)</f>
        <v xml:space="preserve"> </v>
      </c>
      <c r="H28" s="95" t="str">
        <f>IF(ING!E29=0," ",ING!E29)</f>
        <v xml:space="preserve"> </v>
      </c>
      <c r="I28" s="48">
        <f>IF('C.SOC'!C29=0," ",'C.SOC'!C29)</f>
        <v>70</v>
      </c>
      <c r="J28" s="48" t="str">
        <f>IF('C.SOC'!D29=0," ",'C.SOC'!D29)</f>
        <v xml:space="preserve"> </v>
      </c>
      <c r="K28" s="95" t="str">
        <f>IF('C.SOC'!E29=0," ",'C.SOC'!E29)</f>
        <v xml:space="preserve"> </v>
      </c>
      <c r="L28" s="48">
        <f>IF('E. FIS.'!C29=0," ",'E. FIS.'!C29)</f>
        <v>63</v>
      </c>
      <c r="M28" s="48" t="str">
        <f>IF('E. FIS.'!D29=0," ",'E. FIS.'!D29)</f>
        <v xml:space="preserve"> </v>
      </c>
      <c r="N28" s="95" t="str">
        <f>IF('E. FIS.'!E29=0," ",'E. FIS.'!E29)</f>
        <v xml:space="preserve"> </v>
      </c>
      <c r="O28" s="48">
        <f>IF(MUS.!C29=0," ",MUS.!C29)</f>
        <v>100</v>
      </c>
      <c r="P28" s="48" t="str">
        <f>IF(MUS.!D29=0," ",MUS.!D29)</f>
        <v xml:space="preserve"> </v>
      </c>
      <c r="Q28" s="95" t="str">
        <f>IF(MUS.!E29=0," ",MUS.!E29)</f>
        <v xml:space="preserve"> </v>
      </c>
      <c r="R28" s="96">
        <f>IF('A.PL. '!C29=0," ",'A.PL. '!C29)</f>
        <v>62</v>
      </c>
      <c r="S28" s="48" t="str">
        <f>IF('A.PL. '!D29=0," ",'A.PL. '!D29)</f>
        <v xml:space="preserve"> </v>
      </c>
      <c r="T28" s="95" t="str">
        <f>IF('A.PL. '!E29=0," ",'A.PL. '!E29)</f>
        <v xml:space="preserve"> </v>
      </c>
      <c r="U28" s="96">
        <f>IF(MAT!C29=0," ",MAT!C29)</f>
        <v>97</v>
      </c>
      <c r="V28" s="48" t="str">
        <f>IF(MAT!D29=0," ",MAT!D29)</f>
        <v xml:space="preserve"> </v>
      </c>
      <c r="W28" s="95" t="str">
        <f>IF(MAT!E29=0," ",MAT!E29)</f>
        <v xml:space="preserve"> </v>
      </c>
      <c r="X28" s="96">
        <f>IF('T. TEC. GRAL'!C29=0," ",'T. TEC. GRAL'!C29)</f>
        <v>75</v>
      </c>
      <c r="Y28" s="48" t="str">
        <f>IF('T. TEC. GRAL'!D29=0," ",'T. TEC. GRAL'!D29)</f>
        <v xml:space="preserve"> </v>
      </c>
      <c r="Z28" s="95" t="str">
        <f>IF('T. TEC. GRAL'!E29=0," ",'T. TEC. GRAL'!E29)</f>
        <v xml:space="preserve"> </v>
      </c>
      <c r="AA28" s="96">
        <f>IF('BIO-GEO'!C29=0," ",'BIO-GEO'!C29)</f>
        <v>87</v>
      </c>
      <c r="AB28" s="48" t="str">
        <f>IF('BIO-GEO'!D29=0," ",'BIO-GEO'!D29)</f>
        <v xml:space="preserve"> </v>
      </c>
      <c r="AC28" s="95" t="str">
        <f>IF('BIO-GEO'!E29=0," ",'BIO-GEO'!E29)</f>
        <v xml:space="preserve"> </v>
      </c>
      <c r="AD28" s="92">
        <f>IF(PSI!C29=0," ",PSI!C29)</f>
        <v>87</v>
      </c>
      <c r="AE28" s="48" t="str">
        <f>IF(PSI!D29=0," ",PSI!D29)</f>
        <v xml:space="preserve"> </v>
      </c>
      <c r="AF28" s="95" t="str">
        <f>IF(PSI!E29=0," ",PSI!E29)</f>
        <v xml:space="preserve"> </v>
      </c>
      <c r="AG28" s="96">
        <f>IF('REL.'!C29=0," ",'REL.'!C29)</f>
        <v>73.166666666666657</v>
      </c>
      <c r="AH28" s="48" t="str">
        <f>IF('REL.'!D29=0," ",'REL.'!D29)</f>
        <v xml:space="preserve"> </v>
      </c>
      <c r="AI28" s="95" t="str">
        <f>IF('REL.'!E29=0," ",'REL.'!E29)</f>
        <v xml:space="preserve"> </v>
      </c>
      <c r="AL28" s="239">
        <f t="shared" si="0"/>
        <v>81.106060606060609</v>
      </c>
      <c r="AM28" s="239">
        <f t="shared" si="1"/>
        <v>0</v>
      </c>
      <c r="AN28" s="239">
        <f t="shared" si="2"/>
        <v>0</v>
      </c>
    </row>
    <row r="29" spans="1:40">
      <c r="A29" s="60">
        <f>NOMINA!A30</f>
        <v>25</v>
      </c>
      <c r="B29" s="129" t="str">
        <f>NOMINA!B30</f>
        <v>QUENALLATA CESPEDES LUMAIDA YANISS</v>
      </c>
      <c r="C29" s="48">
        <f>IF(LEN!C30=0," ",LEN!C30)</f>
        <v>43</v>
      </c>
      <c r="D29" s="48" t="str">
        <f>IF(LEN!D30=0," ",LEN!D30)</f>
        <v xml:space="preserve"> </v>
      </c>
      <c r="E29" s="95" t="str">
        <f>IF(LEN!E30=0," ",LEN!E30)</f>
        <v xml:space="preserve"> </v>
      </c>
      <c r="F29" s="48">
        <f>IF(ING!C30=0," ",ING!C30)</f>
        <v>46</v>
      </c>
      <c r="G29" s="48" t="str">
        <f>IF(ING!D30=0," ",ING!D30)</f>
        <v xml:space="preserve"> </v>
      </c>
      <c r="H29" s="95" t="str">
        <f>IF(ING!E30=0," ",ING!E30)</f>
        <v xml:space="preserve"> </v>
      </c>
      <c r="I29" s="48">
        <f>IF('C.SOC'!C30=0," ",'C.SOC'!C30)</f>
        <v>40</v>
      </c>
      <c r="J29" s="48" t="str">
        <f>IF('C.SOC'!D30=0," ",'C.SOC'!D30)</f>
        <v xml:space="preserve"> </v>
      </c>
      <c r="K29" s="95" t="str">
        <f>IF('C.SOC'!E30=0," ",'C.SOC'!E30)</f>
        <v xml:space="preserve"> </v>
      </c>
      <c r="L29" s="48">
        <f>IF('E. FIS.'!C30=0," ",'E. FIS.'!C30)</f>
        <v>59</v>
      </c>
      <c r="M29" s="48" t="str">
        <f>IF('E. FIS.'!D30=0," ",'E. FIS.'!D30)</f>
        <v xml:space="preserve"> </v>
      </c>
      <c r="N29" s="95" t="str">
        <f>IF('E. FIS.'!E30=0," ",'E. FIS.'!E30)</f>
        <v xml:space="preserve"> </v>
      </c>
      <c r="O29" s="48">
        <f>IF(MUS.!C30=0," ",MUS.!C30)</f>
        <v>78</v>
      </c>
      <c r="P29" s="48" t="str">
        <f>IF(MUS.!D30=0," ",MUS.!D30)</f>
        <v xml:space="preserve"> </v>
      </c>
      <c r="Q29" s="95" t="str">
        <f>IF(MUS.!E30=0," ",MUS.!E30)</f>
        <v xml:space="preserve"> </v>
      </c>
      <c r="R29" s="96">
        <f>IF('A.PL. '!C30=0," ",'A.PL. '!C30)</f>
        <v>58</v>
      </c>
      <c r="S29" s="48" t="str">
        <f>IF('A.PL. '!D30=0," ",'A.PL. '!D30)</f>
        <v xml:space="preserve"> </v>
      </c>
      <c r="T29" s="95" t="str">
        <f>IF('A.PL. '!E30=0," ",'A.PL. '!E30)</f>
        <v xml:space="preserve"> </v>
      </c>
      <c r="U29" s="96">
        <f>IF(MAT!C30=0," ",MAT!C30)</f>
        <v>53</v>
      </c>
      <c r="V29" s="48" t="str">
        <f>IF(MAT!D30=0," ",MAT!D30)</f>
        <v xml:space="preserve"> </v>
      </c>
      <c r="W29" s="95" t="str">
        <f>IF(MAT!E30=0," ",MAT!E30)</f>
        <v xml:space="preserve"> </v>
      </c>
      <c r="X29" s="96">
        <f>IF('T. TEC. GRAL'!C30=0," ",'T. TEC. GRAL'!C30)</f>
        <v>64</v>
      </c>
      <c r="Y29" s="48" t="str">
        <f>IF('T. TEC. GRAL'!D30=0," ",'T. TEC. GRAL'!D30)</f>
        <v xml:space="preserve"> </v>
      </c>
      <c r="Z29" s="95" t="str">
        <f>IF('T. TEC. GRAL'!E30=0," ",'T. TEC. GRAL'!E30)</f>
        <v xml:space="preserve"> </v>
      </c>
      <c r="AA29" s="96">
        <f>IF('BIO-GEO'!C30=0," ",'BIO-GEO'!C30)</f>
        <v>71</v>
      </c>
      <c r="AB29" s="48" t="str">
        <f>IF('BIO-GEO'!D30=0," ",'BIO-GEO'!D30)</f>
        <v xml:space="preserve"> </v>
      </c>
      <c r="AC29" s="95" t="str">
        <f>IF('BIO-GEO'!E30=0," ",'BIO-GEO'!E30)</f>
        <v xml:space="preserve"> </v>
      </c>
      <c r="AD29" s="92">
        <f>IF(PSI!C30=0," ",PSI!C30)</f>
        <v>38</v>
      </c>
      <c r="AE29" s="48" t="str">
        <f>IF(PSI!D30=0," ",PSI!D30)</f>
        <v xml:space="preserve"> </v>
      </c>
      <c r="AF29" s="95" t="str">
        <f>IF(PSI!E30=0," ",PSI!E30)</f>
        <v xml:space="preserve"> </v>
      </c>
      <c r="AG29" s="96">
        <f>IF('REL.'!C30=0," ",'REL.'!C30)</f>
        <v>55.416666666666664</v>
      </c>
      <c r="AH29" s="48" t="str">
        <f>IF('REL.'!D30=0," ",'REL.'!D30)</f>
        <v xml:space="preserve"> </v>
      </c>
      <c r="AI29" s="95" t="str">
        <f>IF('REL.'!E30=0," ",'REL.'!E30)</f>
        <v xml:space="preserve"> </v>
      </c>
      <c r="AL29" s="239">
        <f t="shared" si="0"/>
        <v>55.037878787878782</v>
      </c>
      <c r="AM29" s="239">
        <f t="shared" si="1"/>
        <v>0</v>
      </c>
      <c r="AN29" s="239">
        <f t="shared" si="2"/>
        <v>0</v>
      </c>
    </row>
    <row r="30" spans="1:40">
      <c r="A30" s="60">
        <f>NOMINA!A31</f>
        <v>26</v>
      </c>
      <c r="B30" s="129" t="str">
        <f>NOMINA!B31</f>
        <v>QUISPE ESCARZA CIELO</v>
      </c>
      <c r="C30" s="48">
        <f>IF(LEN!C31=0," ",LEN!C31)</f>
        <v>47</v>
      </c>
      <c r="D30" s="48" t="str">
        <f>IF(LEN!D31=0," ",LEN!D31)</f>
        <v xml:space="preserve"> </v>
      </c>
      <c r="E30" s="95" t="str">
        <f>IF(LEN!E31=0," ",LEN!E31)</f>
        <v xml:space="preserve"> </v>
      </c>
      <c r="F30" s="48">
        <f>IF(ING!C31=0," ",ING!C31)</f>
        <v>51</v>
      </c>
      <c r="G30" s="48" t="str">
        <f>IF(ING!D31=0," ",ING!D31)</f>
        <v xml:space="preserve"> </v>
      </c>
      <c r="H30" s="95" t="str">
        <f>IF(ING!E31=0," ",ING!E31)</f>
        <v xml:space="preserve"> </v>
      </c>
      <c r="I30" s="48">
        <f>IF('C.SOC'!C31=0," ",'C.SOC'!C31)</f>
        <v>40</v>
      </c>
      <c r="J30" s="48" t="str">
        <f>IF('C.SOC'!D31=0," ",'C.SOC'!D31)</f>
        <v xml:space="preserve"> </v>
      </c>
      <c r="K30" s="95" t="str">
        <f>IF('C.SOC'!E31=0," ",'C.SOC'!E31)</f>
        <v xml:space="preserve"> </v>
      </c>
      <c r="L30" s="48">
        <f>IF('E. FIS.'!C31=0," ",'E. FIS.'!C31)</f>
        <v>55</v>
      </c>
      <c r="M30" s="48" t="str">
        <f>IF('E. FIS.'!D31=0," ",'E. FIS.'!D31)</f>
        <v xml:space="preserve"> </v>
      </c>
      <c r="N30" s="95" t="str">
        <f>IF('E. FIS.'!E31=0," ",'E. FIS.'!E31)</f>
        <v xml:space="preserve"> </v>
      </c>
      <c r="O30" s="48">
        <f>IF(MUS.!C31=0," ",MUS.!C31)</f>
        <v>47</v>
      </c>
      <c r="P30" s="48" t="str">
        <f>IF(MUS.!D31=0," ",MUS.!D31)</f>
        <v xml:space="preserve"> </v>
      </c>
      <c r="Q30" s="95" t="str">
        <f>IF(MUS.!E31=0," ",MUS.!E31)</f>
        <v xml:space="preserve"> </v>
      </c>
      <c r="R30" s="96">
        <f>IF('A.PL. '!C31=0," ",'A.PL. '!C31)</f>
        <v>61</v>
      </c>
      <c r="S30" s="48" t="str">
        <f>IF('A.PL. '!D31=0," ",'A.PL. '!D31)</f>
        <v xml:space="preserve"> </v>
      </c>
      <c r="T30" s="95" t="str">
        <f>IF('A.PL. '!E31=0," ",'A.PL. '!E31)</f>
        <v xml:space="preserve"> </v>
      </c>
      <c r="U30" s="96">
        <f>IF(MAT!C31=0," ",MAT!C31)</f>
        <v>49</v>
      </c>
      <c r="V30" s="48" t="str">
        <f>IF(MAT!D31=0," ",MAT!D31)</f>
        <v xml:space="preserve"> </v>
      </c>
      <c r="W30" s="95" t="str">
        <f>IF(MAT!E31=0," ",MAT!E31)</f>
        <v xml:space="preserve"> </v>
      </c>
      <c r="X30" s="96">
        <f>IF('T. TEC. GRAL'!C31=0," ",'T. TEC. GRAL'!C31)</f>
        <v>39</v>
      </c>
      <c r="Y30" s="48" t="str">
        <f>IF('T. TEC. GRAL'!D31=0," ",'T. TEC. GRAL'!D31)</f>
        <v xml:space="preserve"> </v>
      </c>
      <c r="Z30" s="95" t="str">
        <f>IF('T. TEC. GRAL'!E31=0," ",'T. TEC. GRAL'!E31)</f>
        <v xml:space="preserve"> </v>
      </c>
      <c r="AA30" s="96">
        <f>IF('BIO-GEO'!C31=0," ",'BIO-GEO'!C31)</f>
        <v>70</v>
      </c>
      <c r="AB30" s="48" t="str">
        <f>IF('BIO-GEO'!D31=0," ",'BIO-GEO'!D31)</f>
        <v xml:space="preserve"> </v>
      </c>
      <c r="AC30" s="95" t="str">
        <f>IF('BIO-GEO'!E31=0," ",'BIO-GEO'!E31)</f>
        <v xml:space="preserve"> </v>
      </c>
      <c r="AD30" s="92">
        <f>IF(PSI!C31=0," ",PSI!C31)</f>
        <v>56</v>
      </c>
      <c r="AE30" s="48" t="str">
        <f>IF(PSI!D31=0," ",PSI!D31)</f>
        <v xml:space="preserve"> </v>
      </c>
      <c r="AF30" s="95" t="str">
        <f>IF(PSI!E31=0," ",PSI!E31)</f>
        <v xml:space="preserve"> </v>
      </c>
      <c r="AG30" s="96">
        <f>IF('REL.'!C31=0," ",'REL.'!C31)</f>
        <v>62.833333333333329</v>
      </c>
      <c r="AH30" s="48" t="str">
        <f>IF('REL.'!D31=0," ",'REL.'!D31)</f>
        <v xml:space="preserve"> </v>
      </c>
      <c r="AI30" s="95" t="str">
        <f>IF('REL.'!E31=0," ",'REL.'!E31)</f>
        <v xml:space="preserve"> </v>
      </c>
      <c r="AL30" s="239">
        <f t="shared" si="0"/>
        <v>52.530303030303031</v>
      </c>
      <c r="AM30" s="239">
        <f t="shared" si="1"/>
        <v>0</v>
      </c>
      <c r="AN30" s="239">
        <f t="shared" si="2"/>
        <v>0</v>
      </c>
    </row>
    <row r="31" spans="1:40">
      <c r="A31" s="60">
        <f>NOMINA!A32</f>
        <v>27</v>
      </c>
      <c r="B31" s="129" t="str">
        <f>NOMINA!B32</f>
        <v>QUISPE MILAN ADRIAN ANTHONY</v>
      </c>
      <c r="C31" s="48">
        <f>IF(LEN!C32=0," ",LEN!C32)</f>
        <v>57</v>
      </c>
      <c r="D31" s="48" t="str">
        <f>IF(LEN!D32=0," ",LEN!D32)</f>
        <v xml:space="preserve"> </v>
      </c>
      <c r="E31" s="95" t="str">
        <f>IF(LEN!E32=0," ",LEN!E32)</f>
        <v xml:space="preserve"> </v>
      </c>
      <c r="F31" s="48">
        <f>IF(ING!C32=0," ",ING!C32)</f>
        <v>53</v>
      </c>
      <c r="G31" s="48" t="str">
        <f>IF(ING!D32=0," ",ING!D32)</f>
        <v xml:space="preserve"> </v>
      </c>
      <c r="H31" s="95" t="str">
        <f>IF(ING!E32=0," ",ING!E32)</f>
        <v xml:space="preserve"> </v>
      </c>
      <c r="I31" s="48">
        <f>IF('C.SOC'!C32=0," ",'C.SOC'!C32)</f>
        <v>46</v>
      </c>
      <c r="J31" s="48" t="str">
        <f>IF('C.SOC'!D32=0," ",'C.SOC'!D32)</f>
        <v xml:space="preserve"> </v>
      </c>
      <c r="K31" s="95" t="str">
        <f>IF('C.SOC'!E32=0," ",'C.SOC'!E32)</f>
        <v xml:space="preserve"> </v>
      </c>
      <c r="L31" s="48">
        <f>IF('E. FIS.'!C32=0," ",'E. FIS.'!C32)</f>
        <v>63</v>
      </c>
      <c r="M31" s="48" t="str">
        <f>IF('E. FIS.'!D32=0," ",'E. FIS.'!D32)</f>
        <v xml:space="preserve"> </v>
      </c>
      <c r="N31" s="95" t="str">
        <f>IF('E. FIS.'!E32=0," ",'E. FIS.'!E32)</f>
        <v xml:space="preserve"> </v>
      </c>
      <c r="O31" s="48">
        <f>IF(MUS.!C32=0," ",MUS.!C32)</f>
        <v>65</v>
      </c>
      <c r="P31" s="48" t="str">
        <f>IF(MUS.!D32=0," ",MUS.!D32)</f>
        <v xml:space="preserve"> </v>
      </c>
      <c r="Q31" s="95" t="str">
        <f>IF(MUS.!E32=0," ",MUS.!E32)</f>
        <v xml:space="preserve"> </v>
      </c>
      <c r="R31" s="96">
        <f>IF('A.PL. '!C32=0," ",'A.PL. '!C32)</f>
        <v>60</v>
      </c>
      <c r="S31" s="48" t="str">
        <f>IF('A.PL. '!D32=0," ",'A.PL. '!D32)</f>
        <v xml:space="preserve"> </v>
      </c>
      <c r="T31" s="95" t="str">
        <f>IF('A.PL. '!E32=0," ",'A.PL. '!E32)</f>
        <v xml:space="preserve"> </v>
      </c>
      <c r="U31" s="96">
        <f>IF(MAT!C32=0," ",MAT!C32)</f>
        <v>62</v>
      </c>
      <c r="V31" s="48" t="str">
        <f>IF(MAT!D32=0," ",MAT!D32)</f>
        <v xml:space="preserve"> </v>
      </c>
      <c r="W31" s="95" t="str">
        <f>IF(MAT!E32=0," ",MAT!E32)</f>
        <v xml:space="preserve"> </v>
      </c>
      <c r="X31" s="96">
        <f>IF('T. TEC. GRAL'!C32=0," ",'T. TEC. GRAL'!C32)</f>
        <v>75</v>
      </c>
      <c r="Y31" s="48" t="str">
        <f>IF('T. TEC. GRAL'!D32=0," ",'T. TEC. GRAL'!D32)</f>
        <v xml:space="preserve"> </v>
      </c>
      <c r="Z31" s="95" t="str">
        <f>IF('T. TEC. GRAL'!E32=0," ",'T. TEC. GRAL'!E32)</f>
        <v xml:space="preserve"> </v>
      </c>
      <c r="AA31" s="96">
        <f>IF('BIO-GEO'!C32=0," ",'BIO-GEO'!C32)</f>
        <v>77</v>
      </c>
      <c r="AB31" s="48" t="str">
        <f>IF('BIO-GEO'!D32=0," ",'BIO-GEO'!D32)</f>
        <v xml:space="preserve"> </v>
      </c>
      <c r="AC31" s="95" t="str">
        <f>IF('BIO-GEO'!E32=0," ",'BIO-GEO'!E32)</f>
        <v xml:space="preserve"> </v>
      </c>
      <c r="AD31" s="92">
        <f>IF(PSI!C32=0," ",PSI!C32)</f>
        <v>71</v>
      </c>
      <c r="AE31" s="48" t="str">
        <f>IF(PSI!D32=0," ",PSI!D32)</f>
        <v xml:space="preserve"> </v>
      </c>
      <c r="AF31" s="95" t="str">
        <f>IF(PSI!E32=0," ",PSI!E32)</f>
        <v xml:space="preserve"> </v>
      </c>
      <c r="AG31" s="96">
        <f>IF('REL.'!C32=0," ",'REL.'!C32)</f>
        <v>60.833333333333329</v>
      </c>
      <c r="AH31" s="48" t="str">
        <f>IF('REL.'!D32=0," ",'REL.'!D32)</f>
        <v xml:space="preserve"> </v>
      </c>
      <c r="AI31" s="95" t="str">
        <f>IF('REL.'!E32=0," ",'REL.'!E32)</f>
        <v xml:space="preserve"> </v>
      </c>
      <c r="AL31" s="239">
        <f t="shared" si="0"/>
        <v>62.712121212121218</v>
      </c>
      <c r="AM31" s="239">
        <f t="shared" si="1"/>
        <v>0</v>
      </c>
      <c r="AN31" s="239">
        <f t="shared" si="2"/>
        <v>0</v>
      </c>
    </row>
    <row r="32" spans="1:40">
      <c r="A32" s="60">
        <f>NOMINA!A33</f>
        <v>28</v>
      </c>
      <c r="B32" s="129" t="str">
        <f>NOMINA!B33</f>
        <v>ROMAN TITO MATEO</v>
      </c>
      <c r="C32" s="48">
        <f>IF(LEN!C33=0," ",LEN!C33)</f>
        <v>75</v>
      </c>
      <c r="D32" s="48" t="str">
        <f>IF(LEN!D33=0," ",LEN!D33)</f>
        <v xml:space="preserve"> </v>
      </c>
      <c r="E32" s="95" t="str">
        <f>IF(LEN!E33=0," ",LEN!E33)</f>
        <v xml:space="preserve"> </v>
      </c>
      <c r="F32" s="48">
        <f>IF(ING!C33=0," ",ING!C33)</f>
        <v>70</v>
      </c>
      <c r="G32" s="48" t="str">
        <f>IF(ING!D33=0," ",ING!D33)</f>
        <v xml:space="preserve"> </v>
      </c>
      <c r="H32" s="95" t="str">
        <f>IF(ING!E33=0," ",ING!E33)</f>
        <v xml:space="preserve"> </v>
      </c>
      <c r="I32" s="48">
        <f>IF('C.SOC'!C33=0," ",'C.SOC'!C33)</f>
        <v>64</v>
      </c>
      <c r="J32" s="48" t="str">
        <f>IF('C.SOC'!D33=0," ",'C.SOC'!D33)</f>
        <v xml:space="preserve"> </v>
      </c>
      <c r="K32" s="95" t="str">
        <f>IF('C.SOC'!E33=0," ",'C.SOC'!E33)</f>
        <v xml:space="preserve"> </v>
      </c>
      <c r="L32" s="48">
        <f>IF('E. FIS.'!C33=0," ",'E. FIS.'!C33)</f>
        <v>79</v>
      </c>
      <c r="M32" s="48" t="str">
        <f>IF('E. FIS.'!D33=0," ",'E. FIS.'!D33)</f>
        <v xml:space="preserve"> </v>
      </c>
      <c r="N32" s="95" t="str">
        <f>IF('E. FIS.'!E33=0," ",'E. FIS.'!E33)</f>
        <v xml:space="preserve"> </v>
      </c>
      <c r="O32" s="48">
        <f>IF(MUS.!C33=0," ",MUS.!C33)</f>
        <v>100</v>
      </c>
      <c r="P32" s="48" t="str">
        <f>IF(MUS.!D33=0," ",MUS.!D33)</f>
        <v xml:space="preserve"> </v>
      </c>
      <c r="Q32" s="95" t="str">
        <f>IF(MUS.!E33=0," ",MUS.!E33)</f>
        <v xml:space="preserve"> </v>
      </c>
      <c r="R32" s="96">
        <f>IF('A.PL. '!C33=0," ",'A.PL. '!C33)</f>
        <v>70</v>
      </c>
      <c r="S32" s="48" t="str">
        <f>IF('A.PL. '!D33=0," ",'A.PL. '!D33)</f>
        <v xml:space="preserve"> </v>
      </c>
      <c r="T32" s="95" t="str">
        <f>IF('A.PL. '!E33=0," ",'A.PL. '!E33)</f>
        <v xml:space="preserve"> </v>
      </c>
      <c r="U32" s="96">
        <f>IF(MAT!C33=0," ",MAT!C33)</f>
        <v>86</v>
      </c>
      <c r="V32" s="48" t="str">
        <f>IF(MAT!D33=0," ",MAT!D33)</f>
        <v xml:space="preserve"> </v>
      </c>
      <c r="W32" s="95" t="str">
        <f>IF(MAT!E33=0," ",MAT!E33)</f>
        <v xml:space="preserve"> </v>
      </c>
      <c r="X32" s="96">
        <f>IF('T. TEC. GRAL'!C33=0," ",'T. TEC. GRAL'!C33)</f>
        <v>82</v>
      </c>
      <c r="Y32" s="48" t="str">
        <f>IF('T. TEC. GRAL'!D33=0," ",'T. TEC. GRAL'!D33)</f>
        <v xml:space="preserve"> </v>
      </c>
      <c r="Z32" s="95" t="str">
        <f>IF('T. TEC. GRAL'!E33=0," ",'T. TEC. GRAL'!E33)</f>
        <v xml:space="preserve"> </v>
      </c>
      <c r="AA32" s="96">
        <f>IF('BIO-GEO'!C33=0," ",'BIO-GEO'!C33)</f>
        <v>82</v>
      </c>
      <c r="AB32" s="48" t="str">
        <f>IF('BIO-GEO'!D33=0," ",'BIO-GEO'!D33)</f>
        <v xml:space="preserve"> </v>
      </c>
      <c r="AC32" s="95" t="str">
        <f>IF('BIO-GEO'!E33=0," ",'BIO-GEO'!E33)</f>
        <v xml:space="preserve"> </v>
      </c>
      <c r="AD32" s="92">
        <f>IF(PSI!C33=0," ",PSI!C33)</f>
        <v>83</v>
      </c>
      <c r="AE32" s="48" t="str">
        <f>IF(PSI!D33=0," ",PSI!D33)</f>
        <v xml:space="preserve"> </v>
      </c>
      <c r="AF32" s="95" t="str">
        <f>IF(PSI!E33=0," ",PSI!E33)</f>
        <v xml:space="preserve"> </v>
      </c>
      <c r="AG32" s="96">
        <f>IF('REL.'!C33=0," ",'REL.'!C33)</f>
        <v>78.833333333333343</v>
      </c>
      <c r="AH32" s="48" t="str">
        <f>IF('REL.'!D33=0," ",'REL.'!D33)</f>
        <v xml:space="preserve"> </v>
      </c>
      <c r="AI32" s="95" t="str">
        <f>IF('REL.'!E33=0," ",'REL.'!E33)</f>
        <v xml:space="preserve"> </v>
      </c>
      <c r="AL32" s="239">
        <f t="shared" si="0"/>
        <v>79.075757575757578</v>
      </c>
      <c r="AM32" s="239">
        <f t="shared" si="1"/>
        <v>0</v>
      </c>
      <c r="AN32" s="239">
        <f t="shared" si="2"/>
        <v>0</v>
      </c>
    </row>
    <row r="33" spans="1:40">
      <c r="A33" s="60">
        <f>NOMINA!A34</f>
        <v>29</v>
      </c>
      <c r="B33" s="129" t="str">
        <f>NOMINA!B34</f>
        <v xml:space="preserve">SILES MAMANI JUSTIN ANGEL </v>
      </c>
      <c r="C33" s="48">
        <f>IF(LEN!C34=0," ",LEN!C34)</f>
        <v>54</v>
      </c>
      <c r="D33" s="48" t="str">
        <f>IF(LEN!D34=0," ",LEN!D34)</f>
        <v xml:space="preserve"> </v>
      </c>
      <c r="E33" s="95" t="str">
        <f>IF(LEN!E34=0," ",LEN!E34)</f>
        <v xml:space="preserve"> </v>
      </c>
      <c r="F33" s="48">
        <f>IF(ING!C34=0," ",ING!C34)</f>
        <v>71</v>
      </c>
      <c r="G33" s="48" t="str">
        <f>IF(ING!D34=0," ",ING!D34)</f>
        <v xml:space="preserve"> </v>
      </c>
      <c r="H33" s="95" t="str">
        <f>IF(ING!E34=0," ",ING!E34)</f>
        <v xml:space="preserve"> </v>
      </c>
      <c r="I33" s="48">
        <f>IF('C.SOC'!C34=0," ",'C.SOC'!C34)</f>
        <v>53</v>
      </c>
      <c r="J33" s="48" t="str">
        <f>IF('C.SOC'!D34=0," ",'C.SOC'!D34)</f>
        <v xml:space="preserve"> </v>
      </c>
      <c r="K33" s="95" t="str">
        <f>IF('C.SOC'!E34=0," ",'C.SOC'!E34)</f>
        <v xml:space="preserve"> </v>
      </c>
      <c r="L33" s="48">
        <f>IF('E. FIS.'!C34=0," ",'E. FIS.'!C34)</f>
        <v>67</v>
      </c>
      <c r="M33" s="48" t="str">
        <f>IF('E. FIS.'!D34=0," ",'E. FIS.'!D34)</f>
        <v xml:space="preserve"> </v>
      </c>
      <c r="N33" s="95" t="str">
        <f>IF('E. FIS.'!E34=0," ",'E. FIS.'!E34)</f>
        <v xml:space="preserve"> </v>
      </c>
      <c r="O33" s="48">
        <f>IF(MUS.!C34=0," ",MUS.!C34)</f>
        <v>70</v>
      </c>
      <c r="P33" s="48" t="str">
        <f>IF(MUS.!D34=0," ",MUS.!D34)</f>
        <v xml:space="preserve"> </v>
      </c>
      <c r="Q33" s="95" t="str">
        <f>IF(MUS.!E34=0," ",MUS.!E34)</f>
        <v xml:space="preserve"> </v>
      </c>
      <c r="R33" s="96">
        <f>IF('A.PL. '!C34=0," ",'A.PL. '!C34)</f>
        <v>61</v>
      </c>
      <c r="S33" s="48" t="str">
        <f>IF('A.PL. '!D34=0," ",'A.PL. '!D34)</f>
        <v xml:space="preserve"> </v>
      </c>
      <c r="T33" s="95" t="str">
        <f>IF('A.PL. '!E34=0," ",'A.PL. '!E34)</f>
        <v xml:space="preserve"> </v>
      </c>
      <c r="U33" s="96">
        <f>IF(MAT!C34=0," ",MAT!C34)</f>
        <v>74</v>
      </c>
      <c r="V33" s="48" t="str">
        <f>IF(MAT!D34=0," ",MAT!D34)</f>
        <v xml:space="preserve"> </v>
      </c>
      <c r="W33" s="95" t="str">
        <f>IF(MAT!E34=0," ",MAT!E34)</f>
        <v xml:space="preserve"> </v>
      </c>
      <c r="X33" s="96">
        <f>IF('T. TEC. GRAL'!C34=0," ",'T. TEC. GRAL'!C34)</f>
        <v>67</v>
      </c>
      <c r="Y33" s="48" t="str">
        <f>IF('T. TEC. GRAL'!D34=0," ",'T. TEC. GRAL'!D34)</f>
        <v xml:space="preserve"> </v>
      </c>
      <c r="Z33" s="95" t="str">
        <f>IF('T. TEC. GRAL'!E34=0," ",'T. TEC. GRAL'!E34)</f>
        <v xml:space="preserve"> </v>
      </c>
      <c r="AA33" s="96">
        <f>IF('BIO-GEO'!C34=0," ",'BIO-GEO'!C34)</f>
        <v>80</v>
      </c>
      <c r="AB33" s="48" t="str">
        <f>IF('BIO-GEO'!D34=0," ",'BIO-GEO'!D34)</f>
        <v xml:space="preserve"> </v>
      </c>
      <c r="AC33" s="95" t="str">
        <f>IF('BIO-GEO'!E34=0," ",'BIO-GEO'!E34)</f>
        <v xml:space="preserve"> </v>
      </c>
      <c r="AD33" s="92">
        <f>IF(PSI!C34=0," ",PSI!C34)</f>
        <v>68</v>
      </c>
      <c r="AE33" s="48" t="str">
        <f>IF(PSI!D34=0," ",PSI!D34)</f>
        <v xml:space="preserve"> </v>
      </c>
      <c r="AF33" s="95" t="str">
        <f>IF(PSI!E34=0," ",PSI!E34)</f>
        <v xml:space="preserve"> </v>
      </c>
      <c r="AG33" s="96">
        <f>IF('REL.'!C34=0," ",'REL.'!C34)</f>
        <v>62.333333333333329</v>
      </c>
      <c r="AH33" s="48" t="str">
        <f>IF('REL.'!D34=0," ",'REL.'!D34)</f>
        <v xml:space="preserve"> </v>
      </c>
      <c r="AI33" s="95" t="str">
        <f>IF('REL.'!E34=0," ",'REL.'!E34)</f>
        <v xml:space="preserve"> </v>
      </c>
      <c r="AL33" s="239">
        <f t="shared" si="0"/>
        <v>66.121212121212125</v>
      </c>
      <c r="AM33" s="239">
        <f t="shared" si="1"/>
        <v>0</v>
      </c>
      <c r="AN33" s="239">
        <f t="shared" si="2"/>
        <v>0</v>
      </c>
    </row>
    <row r="34" spans="1:40">
      <c r="A34" s="60">
        <f>NOMINA!A35</f>
        <v>30</v>
      </c>
      <c r="B34" s="129" t="str">
        <f>NOMINA!B35</f>
        <v>TERAN COCA DIEGO NICOLAS</v>
      </c>
      <c r="C34" s="48">
        <f>IF(LEN!C35=0," ",LEN!C35)</f>
        <v>60</v>
      </c>
      <c r="D34" s="48" t="str">
        <f>IF(LEN!D35=0," ",LEN!D35)</f>
        <v xml:space="preserve"> </v>
      </c>
      <c r="E34" s="95" t="str">
        <f>IF(LEN!E35=0," ",LEN!E35)</f>
        <v xml:space="preserve"> </v>
      </c>
      <c r="F34" s="48">
        <f>IF(ING!C35=0," ",ING!C35)</f>
        <v>67</v>
      </c>
      <c r="G34" s="48" t="str">
        <f>IF(ING!D35=0," ",ING!D35)</f>
        <v xml:space="preserve"> </v>
      </c>
      <c r="H34" s="95" t="str">
        <f>IF(ING!E35=0," ",ING!E35)</f>
        <v xml:space="preserve"> </v>
      </c>
      <c r="I34" s="48">
        <f>IF('C.SOC'!C35=0," ",'C.SOC'!C35)</f>
        <v>51</v>
      </c>
      <c r="J34" s="48" t="str">
        <f>IF('C.SOC'!D35=0," ",'C.SOC'!D35)</f>
        <v xml:space="preserve"> </v>
      </c>
      <c r="K34" s="95" t="str">
        <f>IF('C.SOC'!E35=0," ",'C.SOC'!E35)</f>
        <v xml:space="preserve"> </v>
      </c>
      <c r="L34" s="48">
        <f>IF('E. FIS.'!C35=0," ",'E. FIS.'!C35)</f>
        <v>67</v>
      </c>
      <c r="M34" s="48" t="str">
        <f>IF('E. FIS.'!D35=0," ",'E. FIS.'!D35)</f>
        <v xml:space="preserve"> </v>
      </c>
      <c r="N34" s="95" t="str">
        <f>IF('E. FIS.'!E35=0," ",'E. FIS.'!E35)</f>
        <v xml:space="preserve"> </v>
      </c>
      <c r="O34" s="48">
        <f>IF(MUS.!C35=0," ",MUS.!C35)</f>
        <v>71</v>
      </c>
      <c r="P34" s="48" t="str">
        <f>IF(MUS.!D35=0," ",MUS.!D35)</f>
        <v xml:space="preserve"> </v>
      </c>
      <c r="Q34" s="95" t="str">
        <f>IF(MUS.!E35=0," ",MUS.!E35)</f>
        <v xml:space="preserve"> </v>
      </c>
      <c r="R34" s="96">
        <f>IF('A.PL. '!C35=0," ",'A.PL. '!C35)</f>
        <v>59</v>
      </c>
      <c r="S34" s="48" t="str">
        <f>IF('A.PL. '!D35=0," ",'A.PL. '!D35)</f>
        <v xml:space="preserve"> </v>
      </c>
      <c r="T34" s="95" t="str">
        <f>IF('A.PL. '!E35=0," ",'A.PL. '!E35)</f>
        <v xml:space="preserve"> </v>
      </c>
      <c r="U34" s="96">
        <f>IF(MAT!C35=0," ",MAT!C35)</f>
        <v>71</v>
      </c>
      <c r="V34" s="48" t="str">
        <f>IF(MAT!D35=0," ",MAT!D35)</f>
        <v xml:space="preserve"> </v>
      </c>
      <c r="W34" s="95" t="str">
        <f>IF(MAT!E35=0," ",MAT!E35)</f>
        <v xml:space="preserve"> </v>
      </c>
      <c r="X34" s="96">
        <f>IF('T. TEC. GRAL'!C35=0," ",'T. TEC. GRAL'!C35)</f>
        <v>58</v>
      </c>
      <c r="Y34" s="48" t="str">
        <f>IF('T. TEC. GRAL'!D35=0," ",'T. TEC. GRAL'!D35)</f>
        <v xml:space="preserve"> </v>
      </c>
      <c r="Z34" s="95" t="str">
        <f>IF('T. TEC. GRAL'!E35=0," ",'T. TEC. GRAL'!E35)</f>
        <v xml:space="preserve"> </v>
      </c>
      <c r="AA34" s="96">
        <f>IF('BIO-GEO'!C35=0," ",'BIO-GEO'!C35)</f>
        <v>68</v>
      </c>
      <c r="AB34" s="48" t="str">
        <f>IF('BIO-GEO'!D35=0," ",'BIO-GEO'!D35)</f>
        <v xml:space="preserve"> </v>
      </c>
      <c r="AC34" s="95" t="str">
        <f>IF('BIO-GEO'!E35=0," ",'BIO-GEO'!E35)</f>
        <v xml:space="preserve"> </v>
      </c>
      <c r="AD34" s="92">
        <f>IF(PSI!C35=0," ",PSI!C35)</f>
        <v>75</v>
      </c>
      <c r="AE34" s="48" t="str">
        <f>IF(PSI!D35=0," ",PSI!D35)</f>
        <v xml:space="preserve"> </v>
      </c>
      <c r="AF34" s="95" t="str">
        <f>IF(PSI!E35=0," ",PSI!E35)</f>
        <v xml:space="preserve"> </v>
      </c>
      <c r="AG34" s="96">
        <f>IF('REL.'!C35=0," ",'REL.'!C35)</f>
        <v>68.666666666666657</v>
      </c>
      <c r="AH34" s="48" t="str">
        <f>IF('REL.'!D35=0," ",'REL.'!D35)</f>
        <v xml:space="preserve"> </v>
      </c>
      <c r="AI34" s="95" t="str">
        <f>IF('REL.'!E35=0," ",'REL.'!E35)</f>
        <v xml:space="preserve"> </v>
      </c>
      <c r="AL34" s="239">
        <f t="shared" si="0"/>
        <v>65.060606060606062</v>
      </c>
      <c r="AM34" s="239">
        <f t="shared" si="1"/>
        <v>0</v>
      </c>
      <c r="AN34" s="239">
        <f t="shared" si="2"/>
        <v>0</v>
      </c>
    </row>
    <row r="35" spans="1:40">
      <c r="A35" s="60">
        <f>NOMINA!A36</f>
        <v>31</v>
      </c>
      <c r="B35" s="129" t="str">
        <f>NOMINA!B36</f>
        <v>URIA LOPEZ SEBASTIAN ARIEL</v>
      </c>
      <c r="C35" s="48">
        <f>IF(LEN!C36=0," ",LEN!C36)</f>
        <v>51</v>
      </c>
      <c r="D35" s="48" t="str">
        <f>IF(LEN!D36=0," ",LEN!D36)</f>
        <v xml:space="preserve"> </v>
      </c>
      <c r="E35" s="95" t="str">
        <f>IF(LEN!E36=0," ",LEN!E36)</f>
        <v xml:space="preserve"> </v>
      </c>
      <c r="F35" s="48">
        <f>IF(ING!C36=0," ",ING!C36)</f>
        <v>52</v>
      </c>
      <c r="G35" s="48" t="str">
        <f>IF(ING!D36=0," ",ING!D36)</f>
        <v xml:space="preserve"> </v>
      </c>
      <c r="H35" s="95" t="str">
        <f>IF(ING!E36=0," ",ING!E36)</f>
        <v xml:space="preserve"> </v>
      </c>
      <c r="I35" s="48">
        <f>IF('C.SOC'!C36=0," ",'C.SOC'!C36)</f>
        <v>51</v>
      </c>
      <c r="J35" s="48" t="str">
        <f>IF('C.SOC'!D36=0," ",'C.SOC'!D36)</f>
        <v xml:space="preserve"> </v>
      </c>
      <c r="K35" s="95" t="str">
        <f>IF('C.SOC'!E36=0," ",'C.SOC'!E36)</f>
        <v xml:space="preserve"> </v>
      </c>
      <c r="L35" s="48">
        <f>IF('E. FIS.'!C36=0," ",'E. FIS.'!C36)</f>
        <v>80</v>
      </c>
      <c r="M35" s="48" t="str">
        <f>IF('E. FIS.'!D36=0," ",'E. FIS.'!D36)</f>
        <v xml:space="preserve"> </v>
      </c>
      <c r="N35" s="95" t="str">
        <f>IF('E. FIS.'!E36=0," ",'E. FIS.'!E36)</f>
        <v xml:space="preserve"> </v>
      </c>
      <c r="O35" s="48">
        <f>IF(MUS.!C36=0," ",MUS.!C36)</f>
        <v>72</v>
      </c>
      <c r="P35" s="48" t="str">
        <f>IF(MUS.!D36=0," ",MUS.!D36)</f>
        <v xml:space="preserve"> </v>
      </c>
      <c r="Q35" s="95" t="str">
        <f>IF(MUS.!E36=0," ",MUS.!E36)</f>
        <v xml:space="preserve"> </v>
      </c>
      <c r="R35" s="96">
        <f>IF('A.PL. '!C36=0," ",'A.PL. '!C36)</f>
        <v>67</v>
      </c>
      <c r="S35" s="48" t="str">
        <f>IF('A.PL. '!D36=0," ",'A.PL. '!D36)</f>
        <v xml:space="preserve"> </v>
      </c>
      <c r="T35" s="95" t="str">
        <f>IF('A.PL. '!E36=0," ",'A.PL. '!E36)</f>
        <v xml:space="preserve"> </v>
      </c>
      <c r="U35" s="96">
        <f>IF(MAT!C36=0," ",MAT!C36)</f>
        <v>64</v>
      </c>
      <c r="V35" s="48" t="str">
        <f>IF(MAT!D36=0," ",MAT!D36)</f>
        <v xml:space="preserve"> </v>
      </c>
      <c r="W35" s="95" t="str">
        <f>IF(MAT!E36=0," ",MAT!E36)</f>
        <v xml:space="preserve"> </v>
      </c>
      <c r="X35" s="96">
        <f>IF('T. TEC. GRAL'!C36=0," ",'T. TEC. GRAL'!C36)</f>
        <v>60</v>
      </c>
      <c r="Y35" s="48" t="str">
        <f>IF('T. TEC. GRAL'!D36=0," ",'T. TEC. GRAL'!D36)</f>
        <v xml:space="preserve"> </v>
      </c>
      <c r="Z35" s="95" t="str">
        <f>IF('T. TEC. GRAL'!E36=0," ",'T. TEC. GRAL'!E36)</f>
        <v xml:space="preserve"> </v>
      </c>
      <c r="AA35" s="96">
        <f>IF('BIO-GEO'!C36=0," ",'BIO-GEO'!C36)</f>
        <v>77</v>
      </c>
      <c r="AB35" s="48" t="str">
        <f>IF('BIO-GEO'!D36=0," ",'BIO-GEO'!D36)</f>
        <v xml:space="preserve"> </v>
      </c>
      <c r="AC35" s="95" t="str">
        <f>IF('BIO-GEO'!E36=0," ",'BIO-GEO'!E36)</f>
        <v xml:space="preserve"> </v>
      </c>
      <c r="AD35" s="92">
        <f>IF(PSI!C36=0," ",PSI!C36)</f>
        <v>76</v>
      </c>
      <c r="AE35" s="48" t="str">
        <f>IF(PSI!D36=0," ",PSI!D36)</f>
        <v xml:space="preserve"> </v>
      </c>
      <c r="AF35" s="95" t="str">
        <f>IF(PSI!E36=0," ",PSI!E36)</f>
        <v xml:space="preserve"> </v>
      </c>
      <c r="AG35" s="96">
        <f>IF('REL.'!C36=0," ",'REL.'!C36)</f>
        <v>62.166666666666671</v>
      </c>
      <c r="AH35" s="48" t="str">
        <f>IF('REL.'!D36=0," ",'REL.'!D36)</f>
        <v xml:space="preserve"> </v>
      </c>
      <c r="AI35" s="95" t="str">
        <f>IF('REL.'!E36=0," ",'REL.'!E36)</f>
        <v xml:space="preserve"> </v>
      </c>
      <c r="AL35" s="239">
        <f t="shared" si="0"/>
        <v>64.742424242424235</v>
      </c>
      <c r="AM35" s="239">
        <f t="shared" si="1"/>
        <v>0</v>
      </c>
      <c r="AN35" s="239">
        <f t="shared" si="2"/>
        <v>0</v>
      </c>
    </row>
    <row r="36" spans="1:40">
      <c r="A36" s="60">
        <f>NOMINA!A37</f>
        <v>32</v>
      </c>
      <c r="B36" s="129" t="str">
        <f>NOMINA!B37</f>
        <v>VASQUEZ ESPINOZA JHONATAN YAYCOB</v>
      </c>
      <c r="C36" s="48">
        <f>IF(LEN!C37=0," ",LEN!C37)</f>
        <v>58</v>
      </c>
      <c r="D36" s="48" t="str">
        <f>IF(LEN!D37=0," ",LEN!D37)</f>
        <v xml:space="preserve"> </v>
      </c>
      <c r="E36" s="95" t="str">
        <f>IF(LEN!E37=0," ",LEN!E37)</f>
        <v xml:space="preserve"> </v>
      </c>
      <c r="F36" s="48">
        <f>IF(ING!C37=0," ",ING!C37)</f>
        <v>52</v>
      </c>
      <c r="G36" s="48" t="str">
        <f>IF(ING!D37=0," ",ING!D37)</f>
        <v xml:space="preserve"> </v>
      </c>
      <c r="H36" s="95" t="str">
        <f>IF(ING!E37=0," ",ING!E37)</f>
        <v xml:space="preserve"> </v>
      </c>
      <c r="I36" s="48">
        <f>IF('C.SOC'!C37=0," ",'C.SOC'!C37)</f>
        <v>61</v>
      </c>
      <c r="J36" s="48" t="str">
        <f>IF('C.SOC'!D37=0," ",'C.SOC'!D37)</f>
        <v xml:space="preserve"> </v>
      </c>
      <c r="K36" s="95" t="str">
        <f>IF('C.SOC'!E37=0," ",'C.SOC'!E37)</f>
        <v xml:space="preserve"> </v>
      </c>
      <c r="L36" s="48">
        <f>IF('E. FIS.'!C37=0," ",'E. FIS.'!C37)</f>
        <v>70</v>
      </c>
      <c r="M36" s="48" t="str">
        <f>IF('E. FIS.'!D37=0," ",'E. FIS.'!D37)</f>
        <v xml:space="preserve"> </v>
      </c>
      <c r="N36" s="95" t="str">
        <f>IF('E. FIS.'!E37=0," ",'E. FIS.'!E37)</f>
        <v xml:space="preserve"> </v>
      </c>
      <c r="O36" s="48">
        <f>IF(MUS.!C37=0," ",MUS.!C37)</f>
        <v>76</v>
      </c>
      <c r="P36" s="48" t="str">
        <f>IF(MUS.!D37=0," ",MUS.!D37)</f>
        <v xml:space="preserve"> </v>
      </c>
      <c r="Q36" s="95" t="str">
        <f>IF(MUS.!E37=0," ",MUS.!E37)</f>
        <v xml:space="preserve"> </v>
      </c>
      <c r="R36" s="96">
        <f>IF('A.PL. '!C37=0," ",'A.PL. '!C37)</f>
        <v>71</v>
      </c>
      <c r="S36" s="48" t="str">
        <f>IF('A.PL. '!D37=0," ",'A.PL. '!D37)</f>
        <v xml:space="preserve"> </v>
      </c>
      <c r="T36" s="95" t="str">
        <f>IF('A.PL. '!E37=0," ",'A.PL. '!E37)</f>
        <v xml:space="preserve"> </v>
      </c>
      <c r="U36" s="96">
        <f>IF(MAT!C37=0," ",MAT!C37)</f>
        <v>68</v>
      </c>
      <c r="V36" s="48" t="str">
        <f>IF(MAT!D37=0," ",MAT!D37)</f>
        <v xml:space="preserve"> </v>
      </c>
      <c r="W36" s="95" t="str">
        <f>IF(MAT!E37=0," ",MAT!E37)</f>
        <v xml:space="preserve"> </v>
      </c>
      <c r="X36" s="96">
        <f>IF('T. TEC. GRAL'!C37=0," ",'T. TEC. GRAL'!C37)</f>
        <v>78</v>
      </c>
      <c r="Y36" s="48" t="str">
        <f>IF('T. TEC. GRAL'!D37=0," ",'T. TEC. GRAL'!D37)</f>
        <v xml:space="preserve"> </v>
      </c>
      <c r="Z36" s="95" t="str">
        <f>IF('T. TEC. GRAL'!E37=0," ",'T. TEC. GRAL'!E37)</f>
        <v xml:space="preserve"> </v>
      </c>
      <c r="AA36" s="96">
        <f>IF('BIO-GEO'!C37=0," ",'BIO-GEO'!C37)</f>
        <v>62</v>
      </c>
      <c r="AB36" s="48" t="str">
        <f>IF('BIO-GEO'!D37=0," ",'BIO-GEO'!D37)</f>
        <v xml:space="preserve"> </v>
      </c>
      <c r="AC36" s="95" t="str">
        <f>IF('BIO-GEO'!E37=0," ",'BIO-GEO'!E37)</f>
        <v xml:space="preserve"> </v>
      </c>
      <c r="AD36" s="92">
        <f>IF(PSI!C37=0," ",PSI!C37)</f>
        <v>55</v>
      </c>
      <c r="AE36" s="48" t="str">
        <f>IF(PSI!D37=0," ",PSI!D37)</f>
        <v xml:space="preserve"> </v>
      </c>
      <c r="AF36" s="95" t="str">
        <f>IF(PSI!E37=0," ",PSI!E37)</f>
        <v xml:space="preserve"> </v>
      </c>
      <c r="AG36" s="96">
        <f>IF('REL.'!C37=0," ",'REL.'!C37)</f>
        <v>64</v>
      </c>
      <c r="AH36" s="48" t="str">
        <f>IF('REL.'!D37=0," ",'REL.'!D37)</f>
        <v xml:space="preserve"> </v>
      </c>
      <c r="AI36" s="95" t="str">
        <f>IF('REL.'!E37=0," ",'REL.'!E37)</f>
        <v xml:space="preserve"> </v>
      </c>
      <c r="AL36" s="239">
        <f t="shared" si="0"/>
        <v>65</v>
      </c>
      <c r="AM36" s="239">
        <f t="shared" si="1"/>
        <v>0</v>
      </c>
      <c r="AN36" s="239">
        <f t="shared" si="2"/>
        <v>0</v>
      </c>
    </row>
    <row r="37" spans="1:40">
      <c r="A37" s="60">
        <f>NOMINA!A38</f>
        <v>33</v>
      </c>
      <c r="B37" s="129" t="str">
        <f>NOMINA!B38</f>
        <v>VEIZAGA LEDEZMA SEBASTIAN</v>
      </c>
      <c r="C37" s="48">
        <f>IF(LEN!C38=0," ",LEN!C38)</f>
        <v>67</v>
      </c>
      <c r="D37" s="48" t="str">
        <f>IF(LEN!D38=0," ",LEN!D38)</f>
        <v xml:space="preserve"> </v>
      </c>
      <c r="E37" s="95" t="str">
        <f>IF(LEN!E38=0," ",LEN!E38)</f>
        <v xml:space="preserve"> </v>
      </c>
      <c r="F37" s="48">
        <f>IF(ING!C38=0," ",ING!C38)</f>
        <v>68</v>
      </c>
      <c r="G37" s="48" t="str">
        <f>IF(ING!D38=0," ",ING!D38)</f>
        <v xml:space="preserve"> </v>
      </c>
      <c r="H37" s="95" t="str">
        <f>IF(ING!E38=0," ",ING!E38)</f>
        <v xml:space="preserve"> </v>
      </c>
      <c r="I37" s="48">
        <f>IF('C.SOC'!C38=0," ",'C.SOC'!C38)</f>
        <v>54</v>
      </c>
      <c r="J37" s="48" t="str">
        <f>IF('C.SOC'!D38=0," ",'C.SOC'!D38)</f>
        <v xml:space="preserve"> </v>
      </c>
      <c r="K37" s="95" t="str">
        <f>IF('C.SOC'!E38=0," ",'C.SOC'!E38)</f>
        <v xml:space="preserve"> </v>
      </c>
      <c r="L37" s="48">
        <f>IF('E. FIS.'!C38=0," ",'E. FIS.'!C38)</f>
        <v>69</v>
      </c>
      <c r="M37" s="48" t="str">
        <f>IF('E. FIS.'!D38=0," ",'E. FIS.'!D38)</f>
        <v xml:space="preserve"> </v>
      </c>
      <c r="N37" s="95" t="str">
        <f>IF('E. FIS.'!E38=0," ",'E. FIS.'!E38)</f>
        <v xml:space="preserve"> </v>
      </c>
      <c r="O37" s="48">
        <f>IF(MUS.!C38=0," ",MUS.!C38)</f>
        <v>87</v>
      </c>
      <c r="P37" s="48" t="str">
        <f>IF(MUS.!D38=0," ",MUS.!D38)</f>
        <v xml:space="preserve"> </v>
      </c>
      <c r="Q37" s="95" t="str">
        <f>IF(MUS.!E38=0," ",MUS.!E38)</f>
        <v xml:space="preserve"> </v>
      </c>
      <c r="R37" s="96">
        <f>IF('A.PL. '!C38=0," ",'A.PL. '!C38)</f>
        <v>59</v>
      </c>
      <c r="S37" s="48" t="str">
        <f>IF('A.PL. '!D38=0," ",'A.PL. '!D38)</f>
        <v xml:space="preserve"> </v>
      </c>
      <c r="T37" s="95" t="str">
        <f>IF('A.PL. '!E38=0," ",'A.PL. '!E38)</f>
        <v xml:space="preserve"> </v>
      </c>
      <c r="U37" s="96">
        <f>IF(MAT!C38=0," ",MAT!C38)</f>
        <v>72</v>
      </c>
      <c r="V37" s="48" t="str">
        <f>IF(MAT!D38=0," ",MAT!D38)</f>
        <v xml:space="preserve"> </v>
      </c>
      <c r="W37" s="95" t="str">
        <f>IF(MAT!E38=0," ",MAT!E38)</f>
        <v xml:space="preserve"> </v>
      </c>
      <c r="X37" s="96">
        <f>IF('T. TEC. GRAL'!C38=0," ",'T. TEC. GRAL'!C38)</f>
        <v>65</v>
      </c>
      <c r="Y37" s="48" t="str">
        <f>IF('T. TEC. GRAL'!D38=0," ",'T. TEC. GRAL'!D38)</f>
        <v xml:space="preserve"> </v>
      </c>
      <c r="Z37" s="95" t="str">
        <f>IF('T. TEC. GRAL'!E38=0," ",'T. TEC. GRAL'!E38)</f>
        <v xml:space="preserve"> </v>
      </c>
      <c r="AA37" s="96">
        <f>IF('BIO-GEO'!C38=0," ",'BIO-GEO'!C38)</f>
        <v>81</v>
      </c>
      <c r="AB37" s="48" t="str">
        <f>IF('BIO-GEO'!D38=0," ",'BIO-GEO'!D38)</f>
        <v xml:space="preserve"> </v>
      </c>
      <c r="AC37" s="95" t="str">
        <f>IF('BIO-GEO'!E38=0," ",'BIO-GEO'!E38)</f>
        <v xml:space="preserve"> </v>
      </c>
      <c r="AD37" s="92">
        <f>IF(PSI!C38=0," ",PSI!C38)</f>
        <v>77</v>
      </c>
      <c r="AE37" s="48" t="str">
        <f>IF(PSI!D38=0," ",PSI!D38)</f>
        <v xml:space="preserve"> </v>
      </c>
      <c r="AF37" s="95" t="str">
        <f>IF(PSI!E38=0," ",PSI!E38)</f>
        <v xml:space="preserve"> </v>
      </c>
      <c r="AG37" s="96">
        <f>IF('REL.'!C38=0," ",'REL.'!C38)</f>
        <v>66.583333333333329</v>
      </c>
      <c r="AH37" s="48" t="str">
        <f>IF('REL.'!D38=0," ",'REL.'!D38)</f>
        <v xml:space="preserve"> </v>
      </c>
      <c r="AI37" s="95" t="str">
        <f>IF('REL.'!E38=0," ",'REL.'!E38)</f>
        <v xml:space="preserve"> </v>
      </c>
      <c r="AL37" s="239">
        <f t="shared" si="0"/>
        <v>69.598484848484858</v>
      </c>
      <c r="AM37" s="239">
        <f t="shared" si="1"/>
        <v>0</v>
      </c>
      <c r="AN37" s="239">
        <f t="shared" si="2"/>
        <v>0</v>
      </c>
    </row>
    <row r="38" spans="1:40">
      <c r="A38" s="60">
        <f>NOMINA!A39</f>
        <v>34</v>
      </c>
      <c r="B38" s="129" t="str">
        <f>NOMINA!B39</f>
        <v>VILLARROEL CUCHILLO HUGO SEBASTIAN</v>
      </c>
      <c r="C38" s="48">
        <f>IF(LEN!C39=0," ",LEN!C39)</f>
        <v>51</v>
      </c>
      <c r="D38" s="48" t="str">
        <f>IF(LEN!D39=0," ",LEN!D39)</f>
        <v xml:space="preserve"> </v>
      </c>
      <c r="E38" s="95" t="str">
        <f>IF(LEN!E39=0," ",LEN!E39)</f>
        <v xml:space="preserve"> </v>
      </c>
      <c r="F38" s="48">
        <f>IF(ING!C39=0," ",ING!C39)</f>
        <v>55</v>
      </c>
      <c r="G38" s="48" t="str">
        <f>IF(ING!D39=0," ",ING!D39)</f>
        <v xml:space="preserve"> </v>
      </c>
      <c r="H38" s="95" t="str">
        <f>IF(ING!E39=0," ",ING!E39)</f>
        <v xml:space="preserve"> </v>
      </c>
      <c r="I38" s="48">
        <f>IF('C.SOC'!C39=0," ",'C.SOC'!C39)</f>
        <v>55</v>
      </c>
      <c r="J38" s="48" t="str">
        <f>IF('C.SOC'!D39=0," ",'C.SOC'!D39)</f>
        <v xml:space="preserve"> </v>
      </c>
      <c r="K38" s="95" t="str">
        <f>IF('C.SOC'!E39=0," ",'C.SOC'!E39)</f>
        <v xml:space="preserve"> </v>
      </c>
      <c r="L38" s="48">
        <f>IF('E. FIS.'!C39=0," ",'E. FIS.'!C39)</f>
        <v>66</v>
      </c>
      <c r="M38" s="48" t="str">
        <f>IF('E. FIS.'!D39=0," ",'E. FIS.'!D39)</f>
        <v xml:space="preserve"> </v>
      </c>
      <c r="N38" s="95" t="str">
        <f>IF('E. FIS.'!E39=0," ",'E. FIS.'!E39)</f>
        <v xml:space="preserve"> </v>
      </c>
      <c r="O38" s="48">
        <f>IF(MUS.!C39=0," ",MUS.!C39)</f>
        <v>63</v>
      </c>
      <c r="P38" s="48" t="str">
        <f>IF(MUS.!D39=0," ",MUS.!D39)</f>
        <v xml:space="preserve"> </v>
      </c>
      <c r="Q38" s="95" t="str">
        <f>IF(MUS.!E39=0," ",MUS.!E39)</f>
        <v xml:space="preserve"> </v>
      </c>
      <c r="R38" s="96">
        <f>IF('A.PL. '!C39=0," ",'A.PL. '!C39)</f>
        <v>59</v>
      </c>
      <c r="S38" s="48" t="str">
        <f>IF('A.PL. '!D39=0," ",'A.PL. '!D39)</f>
        <v xml:space="preserve"> </v>
      </c>
      <c r="T38" s="95" t="str">
        <f>IF('A.PL. '!E39=0," ",'A.PL. '!E39)</f>
        <v xml:space="preserve"> </v>
      </c>
      <c r="U38" s="96">
        <f>IF(MAT!C39=0," ",MAT!C39)</f>
        <v>49</v>
      </c>
      <c r="V38" s="48" t="str">
        <f>IF(MAT!D39=0," ",MAT!D39)</f>
        <v xml:space="preserve"> </v>
      </c>
      <c r="W38" s="95" t="str">
        <f>IF(MAT!E39=0," ",MAT!E39)</f>
        <v xml:space="preserve"> </v>
      </c>
      <c r="X38" s="96">
        <f>IF('T. TEC. GRAL'!C39=0," ",'T. TEC. GRAL'!C39)</f>
        <v>54</v>
      </c>
      <c r="Y38" s="48" t="str">
        <f>IF('T. TEC. GRAL'!D39=0," ",'T. TEC. GRAL'!D39)</f>
        <v xml:space="preserve"> </v>
      </c>
      <c r="Z38" s="95" t="str">
        <f>IF('T. TEC. GRAL'!E39=0," ",'T. TEC. GRAL'!E39)</f>
        <v xml:space="preserve"> </v>
      </c>
      <c r="AA38" s="96">
        <f>IF('BIO-GEO'!C39=0," ",'BIO-GEO'!C39)</f>
        <v>53</v>
      </c>
      <c r="AB38" s="48" t="str">
        <f>IF('BIO-GEO'!D39=0," ",'BIO-GEO'!D39)</f>
        <v xml:space="preserve"> </v>
      </c>
      <c r="AC38" s="95" t="str">
        <f>IF('BIO-GEO'!E39=0," ",'BIO-GEO'!E39)</f>
        <v xml:space="preserve"> </v>
      </c>
      <c r="AD38" s="92">
        <f>IF(PSI!C39=0," ",PSI!C39)</f>
        <v>47</v>
      </c>
      <c r="AE38" s="48" t="str">
        <f>IF(PSI!D39=0," ",PSI!D39)</f>
        <v xml:space="preserve"> </v>
      </c>
      <c r="AF38" s="95" t="str">
        <f>IF(PSI!E39=0," ",PSI!E39)</f>
        <v xml:space="preserve"> </v>
      </c>
      <c r="AG38" s="96">
        <f>IF('REL.'!C39=0," ",'REL.'!C39)</f>
        <v>61.083333333333336</v>
      </c>
      <c r="AH38" s="48" t="str">
        <f>IF('REL.'!D39=0," ",'REL.'!D39)</f>
        <v xml:space="preserve"> </v>
      </c>
      <c r="AI38" s="95" t="str">
        <f>IF('REL.'!E39=0," ",'REL.'!E39)</f>
        <v xml:space="preserve"> </v>
      </c>
      <c r="AL38" s="239">
        <f t="shared" si="0"/>
        <v>55.734848484848492</v>
      </c>
      <c r="AM38" s="239">
        <f t="shared" si="1"/>
        <v>0</v>
      </c>
      <c r="AN38" s="239">
        <f t="shared" si="2"/>
        <v>0</v>
      </c>
    </row>
    <row r="39" spans="1:40">
      <c r="A39" s="60">
        <f>NOMINA!A40</f>
        <v>35</v>
      </c>
      <c r="B39" s="129" t="str">
        <f>NOMINA!B40</f>
        <v>ZAMBRANA MENDEZ MIRCO ALEXANDER</v>
      </c>
      <c r="C39" s="48">
        <f>IF(LEN!C40=0," ",LEN!C40)</f>
        <v>45</v>
      </c>
      <c r="D39" s="48" t="str">
        <f>IF(LEN!D40=0," ",LEN!D40)</f>
        <v xml:space="preserve"> </v>
      </c>
      <c r="E39" s="95" t="str">
        <f>IF(LEN!E40=0," ",LEN!E40)</f>
        <v xml:space="preserve"> </v>
      </c>
      <c r="F39" s="48">
        <f>IF(ING!C40=0," ",ING!C40)</f>
        <v>41</v>
      </c>
      <c r="G39" s="48" t="str">
        <f>IF(ING!D40=0," ",ING!D40)</f>
        <v xml:space="preserve"> </v>
      </c>
      <c r="H39" s="95" t="str">
        <f>IF(ING!E40=0," ",ING!E40)</f>
        <v xml:space="preserve"> </v>
      </c>
      <c r="I39" s="48">
        <f>IF('C.SOC'!C40=0," ",'C.SOC'!C40)</f>
        <v>53</v>
      </c>
      <c r="J39" s="48" t="str">
        <f>IF('C.SOC'!D40=0," ",'C.SOC'!D40)</f>
        <v xml:space="preserve"> </v>
      </c>
      <c r="K39" s="95" t="str">
        <f>IF('C.SOC'!E40=0," ",'C.SOC'!E40)</f>
        <v xml:space="preserve"> </v>
      </c>
      <c r="L39" s="48">
        <f>IF('E. FIS.'!C40=0," ",'E. FIS.'!C40)</f>
        <v>51</v>
      </c>
      <c r="M39" s="48" t="str">
        <f>IF('E. FIS.'!D40=0," ",'E. FIS.'!D40)</f>
        <v xml:space="preserve"> </v>
      </c>
      <c r="N39" s="95" t="str">
        <f>IF('E. FIS.'!E40=0," ",'E. FIS.'!E40)</f>
        <v xml:space="preserve"> </v>
      </c>
      <c r="O39" s="48">
        <f>IF(MUS.!C40=0," ",MUS.!C40)</f>
        <v>57</v>
      </c>
      <c r="P39" s="48" t="str">
        <f>IF(MUS.!D40=0," ",MUS.!D40)</f>
        <v xml:space="preserve"> </v>
      </c>
      <c r="Q39" s="95" t="str">
        <f>IF(MUS.!E40=0," ",MUS.!E40)</f>
        <v xml:space="preserve"> </v>
      </c>
      <c r="R39" s="96">
        <f>IF('A.PL. '!C40=0," ",'A.PL. '!C40)</f>
        <v>70</v>
      </c>
      <c r="S39" s="48" t="str">
        <f>IF('A.PL. '!D40=0," ",'A.PL. '!D40)</f>
        <v xml:space="preserve"> </v>
      </c>
      <c r="T39" s="95" t="str">
        <f>IF('A.PL. '!E40=0," ",'A.PL. '!E40)</f>
        <v xml:space="preserve"> </v>
      </c>
      <c r="U39" s="96">
        <f>IF(MAT!C40=0," ",MAT!C40)</f>
        <v>47</v>
      </c>
      <c r="V39" s="48" t="str">
        <f>IF(MAT!D40=0," ",MAT!D40)</f>
        <v xml:space="preserve"> </v>
      </c>
      <c r="W39" s="95" t="str">
        <f>IF(MAT!E40=0," ",MAT!E40)</f>
        <v xml:space="preserve"> </v>
      </c>
      <c r="X39" s="96">
        <f>IF('T. TEC. GRAL'!C40=0," ",'T. TEC. GRAL'!C40)</f>
        <v>43</v>
      </c>
      <c r="Y39" s="48" t="str">
        <f>IF('T. TEC. GRAL'!D40=0," ",'T. TEC. GRAL'!D40)</f>
        <v xml:space="preserve"> </v>
      </c>
      <c r="Z39" s="95" t="str">
        <f>IF('T. TEC. GRAL'!E40=0," ",'T. TEC. GRAL'!E40)</f>
        <v xml:space="preserve"> </v>
      </c>
      <c r="AA39" s="96">
        <f>IF('BIO-GEO'!C40=0," ",'BIO-GEO'!C40)</f>
        <v>61</v>
      </c>
      <c r="AB39" s="48" t="str">
        <f>IF('BIO-GEO'!D40=0," ",'BIO-GEO'!D40)</f>
        <v xml:space="preserve"> </v>
      </c>
      <c r="AC39" s="95" t="str">
        <f>IF('BIO-GEO'!E40=0," ",'BIO-GEO'!E40)</f>
        <v xml:space="preserve"> </v>
      </c>
      <c r="AD39" s="92">
        <f>IF(PSI!C40=0," ",PSI!C40)</f>
        <v>69</v>
      </c>
      <c r="AE39" s="48" t="str">
        <f>IF(PSI!D40=0," ",PSI!D40)</f>
        <v xml:space="preserve"> </v>
      </c>
      <c r="AF39" s="95" t="str">
        <f>IF(PSI!E40=0," ",PSI!E40)</f>
        <v xml:space="preserve"> </v>
      </c>
      <c r="AG39" s="96">
        <f>IF('REL.'!C40=0," ",'REL.'!C40)</f>
        <v>51.583333333333329</v>
      </c>
      <c r="AH39" s="48" t="str">
        <f>IF('REL.'!D40=0," ",'REL.'!D40)</f>
        <v xml:space="preserve"> </v>
      </c>
      <c r="AI39" s="95" t="str">
        <f>IF('REL.'!E40=0," ",'REL.'!E40)</f>
        <v xml:space="preserve"> </v>
      </c>
      <c r="AL39" s="239">
        <f t="shared" si="0"/>
        <v>53.507575757575758</v>
      </c>
      <c r="AM39" s="239">
        <f t="shared" si="1"/>
        <v>0</v>
      </c>
      <c r="AN39" s="239">
        <f t="shared" si="2"/>
        <v>0</v>
      </c>
    </row>
    <row r="40" spans="1:40">
      <c r="A40" s="60">
        <f>NOMINA!A41</f>
        <v>36</v>
      </c>
      <c r="B40" s="129">
        <f>NOMINA!B41</f>
        <v>0</v>
      </c>
      <c r="C40" s="48" t="str">
        <f>IF(LEN!C41=0," ",LEN!C41)</f>
        <v xml:space="preserve"> </v>
      </c>
      <c r="D40" s="48" t="str">
        <f>IF(LEN!D41=0," ",LEN!D41)</f>
        <v xml:space="preserve"> </v>
      </c>
      <c r="E40" s="95" t="str">
        <f>IF(LEN!E41=0," ",LEN!E41)</f>
        <v xml:space="preserve"> </v>
      </c>
      <c r="F40" s="48" t="str">
        <f>IF(ING!C41=0," ",ING!C41)</f>
        <v xml:space="preserve"> </v>
      </c>
      <c r="G40" s="48" t="str">
        <f>IF(ING!D41=0," ",ING!D41)</f>
        <v xml:space="preserve"> </v>
      </c>
      <c r="H40" s="95" t="str">
        <f>IF(ING!E41=0," ",ING!E41)</f>
        <v xml:space="preserve"> </v>
      </c>
      <c r="I40" s="48" t="str">
        <f>IF('C.SOC'!C41=0," ",'C.SOC'!C41)</f>
        <v xml:space="preserve"> </v>
      </c>
      <c r="J40" s="48" t="str">
        <f>IF('C.SOC'!D41=0," ",'C.SOC'!D41)</f>
        <v xml:space="preserve"> </v>
      </c>
      <c r="K40" s="95" t="str">
        <f>IF('C.SOC'!E41=0," ",'C.SOC'!E41)</f>
        <v xml:space="preserve"> </v>
      </c>
      <c r="L40" s="48" t="str">
        <f>IF('E. FIS.'!C41=0," ",'E. FIS.'!C41)</f>
        <v xml:space="preserve"> </v>
      </c>
      <c r="M40" s="48" t="str">
        <f>IF('E. FIS.'!D41=0," ",'E. FIS.'!D41)</f>
        <v xml:space="preserve"> </v>
      </c>
      <c r="N40" s="95" t="str">
        <f>IF('E. FIS.'!E41=0," ",'E. FIS.'!E41)</f>
        <v xml:space="preserve"> </v>
      </c>
      <c r="O40" s="48" t="str">
        <f>IF(MUS.!C41=0," ",MUS.!C41)</f>
        <v xml:space="preserve"> </v>
      </c>
      <c r="P40" s="48" t="str">
        <f>IF(MUS.!D41=0," ",MUS.!D41)</f>
        <v xml:space="preserve"> </v>
      </c>
      <c r="Q40" s="95" t="str">
        <f>IF(MUS.!E41=0," ",MUS.!E41)</f>
        <v xml:space="preserve"> </v>
      </c>
      <c r="R40" s="96" t="str">
        <f>IF('A.PL. '!C41=0," ",'A.PL. '!C41)</f>
        <v xml:space="preserve"> </v>
      </c>
      <c r="S40" s="48" t="str">
        <f>IF('A.PL. '!D41=0," ",'A.PL. '!D41)</f>
        <v xml:space="preserve"> </v>
      </c>
      <c r="T40" s="95" t="str">
        <f>IF('A.PL. '!E41=0," ",'A.PL. '!E41)</f>
        <v xml:space="preserve"> </v>
      </c>
      <c r="U40" s="96" t="str">
        <f>IF(MAT!C41=0," ",MAT!C41)</f>
        <v xml:space="preserve"> </v>
      </c>
      <c r="V40" s="48" t="str">
        <f>IF(MAT!D41=0," ",MAT!D41)</f>
        <v xml:space="preserve"> </v>
      </c>
      <c r="W40" s="95" t="str">
        <f>IF(MAT!E41=0," ",MAT!E41)</f>
        <v xml:space="preserve"> </v>
      </c>
      <c r="X40" s="96" t="str">
        <f>IF('T. TEC. GRAL'!C41=0," ",'T. TEC. GRAL'!C41)</f>
        <v xml:space="preserve"> </v>
      </c>
      <c r="Y40" s="48" t="str">
        <f>IF('T. TEC. GRAL'!D41=0," ",'T. TEC. GRAL'!D41)</f>
        <v xml:space="preserve"> </v>
      </c>
      <c r="Z40" s="95" t="str">
        <f>IF('T. TEC. GRAL'!E41=0," ",'T. TEC. GRAL'!E41)</f>
        <v xml:space="preserve"> </v>
      </c>
      <c r="AA40" s="96" t="str">
        <f>IF('BIO-GEO'!C41=0," ",'BIO-GEO'!C41)</f>
        <v xml:space="preserve"> </v>
      </c>
      <c r="AB40" s="48" t="str">
        <f>IF('BIO-GEO'!D41=0," ",'BIO-GEO'!D41)</f>
        <v xml:space="preserve"> </v>
      </c>
      <c r="AC40" s="95" t="str">
        <f>IF('BIO-GEO'!E41=0," ",'BIO-GEO'!E41)</f>
        <v xml:space="preserve"> </v>
      </c>
      <c r="AD40" s="92" t="str">
        <f>IF(PSI!C41=0," ",PSI!C41)</f>
        <v xml:space="preserve"> </v>
      </c>
      <c r="AE40" s="48" t="str">
        <f>IF(PSI!D41=0," ",PSI!D41)</f>
        <v xml:space="preserve"> </v>
      </c>
      <c r="AF40" s="95" t="str">
        <f>IF(PSI!E41=0," ",PSI!E41)</f>
        <v xml:space="preserve"> </v>
      </c>
      <c r="AG40" s="96" t="str">
        <f>IF('REL.'!C41=0," ",'REL.'!C41)</f>
        <v xml:space="preserve"> </v>
      </c>
      <c r="AH40" s="48" t="str">
        <f>IF('REL.'!D41=0," ",'REL.'!D41)</f>
        <v xml:space="preserve"> </v>
      </c>
      <c r="AI40" s="95" t="str">
        <f>IF('REL.'!E41=0," ",'REL.'!E41)</f>
        <v xml:space="preserve"> </v>
      </c>
      <c r="AL40" s="239">
        <f t="shared" si="0"/>
        <v>0</v>
      </c>
      <c r="AM40" s="239">
        <f t="shared" si="1"/>
        <v>0</v>
      </c>
      <c r="AN40" s="239">
        <f t="shared" si="2"/>
        <v>0</v>
      </c>
    </row>
    <row r="41" spans="1:40">
      <c r="A41" s="60">
        <f>NOMINA!A42</f>
        <v>37</v>
      </c>
      <c r="B41" s="129">
        <f>NOMINA!B42</f>
        <v>0</v>
      </c>
      <c r="C41" s="48" t="str">
        <f>IF(LEN!C42=0," ",LEN!C42)</f>
        <v xml:space="preserve"> </v>
      </c>
      <c r="D41" s="48" t="str">
        <f>IF(LEN!D42=0," ",LEN!D42)</f>
        <v xml:space="preserve"> </v>
      </c>
      <c r="E41" s="95" t="str">
        <f>IF(LEN!E42=0," ",LEN!E42)</f>
        <v xml:space="preserve"> </v>
      </c>
      <c r="F41" s="48" t="str">
        <f>IF(ING!C42=0," ",ING!C42)</f>
        <v xml:space="preserve"> </v>
      </c>
      <c r="G41" s="48" t="str">
        <f>IF(ING!D42=0," ",ING!D42)</f>
        <v xml:space="preserve"> </v>
      </c>
      <c r="H41" s="95" t="str">
        <f>IF(ING!E42=0," ",ING!E42)</f>
        <v xml:space="preserve"> </v>
      </c>
      <c r="I41" s="48" t="str">
        <f>IF('C.SOC'!C42=0," ",'C.SOC'!C42)</f>
        <v xml:space="preserve"> </v>
      </c>
      <c r="J41" s="48" t="str">
        <f>IF('C.SOC'!D42=0," ",'C.SOC'!D42)</f>
        <v xml:space="preserve"> </v>
      </c>
      <c r="K41" s="95" t="str">
        <f>IF('C.SOC'!E42=0," ",'C.SOC'!E42)</f>
        <v xml:space="preserve"> </v>
      </c>
      <c r="L41" s="48" t="str">
        <f>IF('E. FIS.'!C42=0," ",'E. FIS.'!C42)</f>
        <v xml:space="preserve"> </v>
      </c>
      <c r="M41" s="48" t="str">
        <f>IF('E. FIS.'!D42=0," ",'E. FIS.'!D42)</f>
        <v xml:space="preserve"> </v>
      </c>
      <c r="N41" s="95" t="str">
        <f>IF('E. FIS.'!E42=0," ",'E. FIS.'!E42)</f>
        <v xml:space="preserve"> </v>
      </c>
      <c r="O41" s="48" t="str">
        <f>IF(MUS.!C42=0," ",MUS.!C42)</f>
        <v xml:space="preserve"> </v>
      </c>
      <c r="P41" s="48" t="str">
        <f>IF(MUS.!D42=0," ",MUS.!D42)</f>
        <v xml:space="preserve"> </v>
      </c>
      <c r="Q41" s="95" t="str">
        <f>IF(MUS.!E42=0," ",MUS.!E42)</f>
        <v xml:space="preserve"> </v>
      </c>
      <c r="R41" s="96" t="str">
        <f>IF('A.PL. '!C42=0," ",'A.PL. '!C42)</f>
        <v xml:space="preserve"> </v>
      </c>
      <c r="S41" s="48" t="str">
        <f>IF('A.PL. '!D42=0," ",'A.PL. '!D42)</f>
        <v xml:space="preserve"> </v>
      </c>
      <c r="T41" s="95" t="str">
        <f>IF('A.PL. '!E42=0," ",'A.PL. '!E42)</f>
        <v xml:space="preserve"> </v>
      </c>
      <c r="U41" s="96" t="str">
        <f>IF(MAT!C42=0," ",MAT!C42)</f>
        <v xml:space="preserve"> </v>
      </c>
      <c r="V41" s="48" t="str">
        <f>IF(MAT!D42=0," ",MAT!D42)</f>
        <v xml:space="preserve"> </v>
      </c>
      <c r="W41" s="95" t="str">
        <f>IF(MAT!E42=0," ",MAT!E42)</f>
        <v xml:space="preserve"> </v>
      </c>
      <c r="X41" s="96" t="str">
        <f>IF('T. TEC. GRAL'!C42=0," ",'T. TEC. GRAL'!C42)</f>
        <v xml:space="preserve"> </v>
      </c>
      <c r="Y41" s="48" t="str">
        <f>IF('T. TEC. GRAL'!D42=0," ",'T. TEC. GRAL'!D42)</f>
        <v xml:space="preserve"> </v>
      </c>
      <c r="Z41" s="95" t="str">
        <f>IF('T. TEC. GRAL'!E42=0," ",'T. TEC. GRAL'!E42)</f>
        <v xml:space="preserve"> </v>
      </c>
      <c r="AA41" s="96" t="str">
        <f>IF('BIO-GEO'!C42=0," ",'BIO-GEO'!C42)</f>
        <v xml:space="preserve"> </v>
      </c>
      <c r="AB41" s="48" t="str">
        <f>IF('BIO-GEO'!D42=0," ",'BIO-GEO'!D42)</f>
        <v xml:space="preserve"> </v>
      </c>
      <c r="AC41" s="95" t="str">
        <f>IF('BIO-GEO'!E42=0," ",'BIO-GEO'!E42)</f>
        <v xml:space="preserve"> </v>
      </c>
      <c r="AD41" s="92" t="str">
        <f>IF(PSI!C42=0," ",PSI!C42)</f>
        <v xml:space="preserve"> </v>
      </c>
      <c r="AE41" s="48" t="str">
        <f>IF(PSI!D42=0," ",PSI!D42)</f>
        <v xml:space="preserve"> </v>
      </c>
      <c r="AF41" s="95" t="str">
        <f>IF(PSI!E42=0," ",PSI!E42)</f>
        <v xml:space="preserve"> </v>
      </c>
      <c r="AG41" s="96" t="str">
        <f>IF('REL.'!C42=0," ",'REL.'!C42)</f>
        <v xml:space="preserve"> </v>
      </c>
      <c r="AH41" s="48" t="str">
        <f>IF('REL.'!D42=0," ",'REL.'!D42)</f>
        <v xml:space="preserve"> </v>
      </c>
      <c r="AI41" s="95" t="str">
        <f>IF('REL.'!E42=0," ",'REL.'!E42)</f>
        <v xml:space="preserve"> </v>
      </c>
      <c r="AL41" s="239">
        <f t="shared" si="0"/>
        <v>0</v>
      </c>
      <c r="AM41" s="239">
        <f t="shared" si="1"/>
        <v>0</v>
      </c>
      <c r="AN41" s="239">
        <f t="shared" si="2"/>
        <v>0</v>
      </c>
    </row>
    <row r="42" spans="1:40">
      <c r="A42" s="60">
        <f>NOMINA!A43</f>
        <v>38</v>
      </c>
      <c r="B42" s="129">
        <f>NOMINA!B43</f>
        <v>0</v>
      </c>
      <c r="C42" s="48" t="str">
        <f>IF(LEN!C43=0," ",LEN!C43)</f>
        <v xml:space="preserve"> </v>
      </c>
      <c r="D42" s="48" t="str">
        <f>IF(LEN!D43=0," ",LEN!D43)</f>
        <v xml:space="preserve"> </v>
      </c>
      <c r="E42" s="95" t="str">
        <f>IF(LEN!E43=0," ",LEN!E43)</f>
        <v xml:space="preserve"> </v>
      </c>
      <c r="F42" s="48" t="str">
        <f>IF(ING!C43=0," ",ING!C43)</f>
        <v xml:space="preserve"> </v>
      </c>
      <c r="G42" s="48" t="str">
        <f>IF(ING!D43=0," ",ING!D43)</f>
        <v xml:space="preserve"> </v>
      </c>
      <c r="H42" s="95" t="str">
        <f>IF(ING!E43=0," ",ING!E43)</f>
        <v xml:space="preserve"> </v>
      </c>
      <c r="I42" s="48" t="str">
        <f>IF('C.SOC'!C43=0," ",'C.SOC'!C43)</f>
        <v xml:space="preserve"> </v>
      </c>
      <c r="J42" s="48" t="str">
        <f>IF('C.SOC'!D43=0," ",'C.SOC'!D43)</f>
        <v xml:space="preserve"> </v>
      </c>
      <c r="K42" s="95" t="str">
        <f>IF('C.SOC'!E43=0," ",'C.SOC'!E43)</f>
        <v xml:space="preserve"> </v>
      </c>
      <c r="L42" s="48" t="str">
        <f>IF('E. FIS.'!C43=0," ",'E. FIS.'!C43)</f>
        <v xml:space="preserve"> </v>
      </c>
      <c r="M42" s="48" t="str">
        <f>IF('E. FIS.'!D43=0," ",'E. FIS.'!D43)</f>
        <v xml:space="preserve"> </v>
      </c>
      <c r="N42" s="95" t="str">
        <f>IF('E. FIS.'!E43=0," ",'E. FIS.'!E43)</f>
        <v xml:space="preserve"> </v>
      </c>
      <c r="O42" s="48" t="str">
        <f>IF(MUS.!C43=0," ",MUS.!C43)</f>
        <v xml:space="preserve"> </v>
      </c>
      <c r="P42" s="48" t="str">
        <f>IF(MUS.!D43=0," ",MUS.!D43)</f>
        <v xml:space="preserve"> </v>
      </c>
      <c r="Q42" s="95" t="str">
        <f>IF(MUS.!E43=0," ",MUS.!E43)</f>
        <v xml:space="preserve"> </v>
      </c>
      <c r="R42" s="96" t="str">
        <f>IF('A.PL. '!C43=0," ",'A.PL. '!C43)</f>
        <v xml:space="preserve"> </v>
      </c>
      <c r="S42" s="48" t="str">
        <f>IF('A.PL. '!D43=0," ",'A.PL. '!D43)</f>
        <v xml:space="preserve"> </v>
      </c>
      <c r="T42" s="95" t="str">
        <f>IF('A.PL. '!E43=0," ",'A.PL. '!E43)</f>
        <v xml:space="preserve"> </v>
      </c>
      <c r="U42" s="96" t="str">
        <f>IF(MAT!C43=0," ",MAT!C43)</f>
        <v xml:space="preserve"> </v>
      </c>
      <c r="V42" s="48" t="str">
        <f>IF(MAT!D43=0," ",MAT!D43)</f>
        <v xml:space="preserve"> </v>
      </c>
      <c r="W42" s="95" t="str">
        <f>IF(MAT!E43=0," ",MAT!E43)</f>
        <v xml:space="preserve"> </v>
      </c>
      <c r="X42" s="96" t="str">
        <f>IF('T. TEC. GRAL'!C43=0," ",'T. TEC. GRAL'!C43)</f>
        <v xml:space="preserve"> </v>
      </c>
      <c r="Y42" s="48" t="str">
        <f>IF('T. TEC. GRAL'!D43=0," ",'T. TEC. GRAL'!D43)</f>
        <v xml:space="preserve"> </v>
      </c>
      <c r="Z42" s="95" t="str">
        <f>IF('T. TEC. GRAL'!E43=0," ",'T. TEC. GRAL'!E43)</f>
        <v xml:space="preserve"> </v>
      </c>
      <c r="AA42" s="96" t="str">
        <f>IF('BIO-GEO'!C43=0," ",'BIO-GEO'!C43)</f>
        <v xml:space="preserve"> </v>
      </c>
      <c r="AB42" s="48" t="str">
        <f>IF('BIO-GEO'!D43=0," ",'BIO-GEO'!D43)</f>
        <v xml:space="preserve"> </v>
      </c>
      <c r="AC42" s="95" t="str">
        <f>IF('BIO-GEO'!E43=0," ",'BIO-GEO'!E43)</f>
        <v xml:space="preserve"> </v>
      </c>
      <c r="AD42" s="92" t="str">
        <f>IF(PSI!C43=0," ",PSI!C43)</f>
        <v xml:space="preserve"> </v>
      </c>
      <c r="AE42" s="48" t="str">
        <f>IF(PSI!D43=0," ",PSI!D43)</f>
        <v xml:space="preserve"> </v>
      </c>
      <c r="AF42" s="95" t="str">
        <f>IF(PSI!E43=0," ",PSI!E43)</f>
        <v xml:space="preserve"> </v>
      </c>
      <c r="AG42" s="96" t="str">
        <f>IF('REL.'!C43=0," ",'REL.'!C43)</f>
        <v xml:space="preserve"> </v>
      </c>
      <c r="AH42" s="48" t="str">
        <f>IF('REL.'!D43=0," ",'REL.'!D43)</f>
        <v xml:space="preserve"> </v>
      </c>
      <c r="AI42" s="95" t="str">
        <f>IF('REL.'!E43=0," ",'REL.'!E43)</f>
        <v xml:space="preserve"> </v>
      </c>
      <c r="AL42" s="239">
        <f t="shared" si="0"/>
        <v>0</v>
      </c>
      <c r="AM42" s="239">
        <f t="shared" si="1"/>
        <v>0</v>
      </c>
      <c r="AN42" s="239">
        <f t="shared" si="2"/>
        <v>0</v>
      </c>
    </row>
    <row r="43" spans="1:40">
      <c r="A43" s="60">
        <f>NOMINA!A44</f>
        <v>39</v>
      </c>
      <c r="B43" s="129">
        <f>NOMINA!B44</f>
        <v>0</v>
      </c>
      <c r="C43" s="48" t="str">
        <f>IF(LEN!C44=0," ",LEN!C44)</f>
        <v xml:space="preserve"> </v>
      </c>
      <c r="D43" s="48" t="str">
        <f>IF(LEN!D44=0," ",LEN!D44)</f>
        <v xml:space="preserve"> </v>
      </c>
      <c r="E43" s="95" t="str">
        <f>IF(LEN!E44=0," ",LEN!E44)</f>
        <v xml:space="preserve"> </v>
      </c>
      <c r="F43" s="48" t="str">
        <f>IF(ING!G44=0," ",ING!G44)</f>
        <v xml:space="preserve"> </v>
      </c>
      <c r="G43" s="48" t="str">
        <f>IF(ING!D44=0," ",ING!D44)</f>
        <v xml:space="preserve"> </v>
      </c>
      <c r="H43" s="95" t="str">
        <f>IF(ING!E44=0," ",ING!E44)</f>
        <v xml:space="preserve"> </v>
      </c>
      <c r="I43" s="48" t="str">
        <f>IF('C.SOC'!C44=0," ",'C.SOC'!C44)</f>
        <v xml:space="preserve"> </v>
      </c>
      <c r="J43" s="48" t="str">
        <f>IF('C.SOC'!D44=0," ",'C.SOC'!D44)</f>
        <v xml:space="preserve"> </v>
      </c>
      <c r="K43" s="95" t="str">
        <f>IF('C.SOC'!E44=0," ",'C.SOC'!E44)</f>
        <v xml:space="preserve"> </v>
      </c>
      <c r="L43" s="48" t="str">
        <f>IF('E. FIS.'!C44=0," ",'E. FIS.'!C44)</f>
        <v xml:space="preserve"> </v>
      </c>
      <c r="M43" s="48" t="str">
        <f>IF('E. FIS.'!D44=0," ",'E. FIS.'!D44)</f>
        <v xml:space="preserve"> </v>
      </c>
      <c r="N43" s="95" t="str">
        <f>IF('E. FIS.'!E44=0," ",'E. FIS.'!E44)</f>
        <v xml:space="preserve"> </v>
      </c>
      <c r="O43" s="48" t="str">
        <f>IF(MUS.!C44=0," ",MUS.!C44)</f>
        <v xml:space="preserve"> </v>
      </c>
      <c r="P43" s="48" t="str">
        <f>IF(MUS.!D44=0," ",MUS.!D44)</f>
        <v xml:space="preserve"> </v>
      </c>
      <c r="Q43" s="95" t="str">
        <f>IF(MUS.!E44=0," ",MUS.!E44)</f>
        <v xml:space="preserve"> </v>
      </c>
      <c r="R43" s="96" t="str">
        <f>IF('A.PL. '!C44=0," ",'A.PL. '!C44)</f>
        <v xml:space="preserve"> </v>
      </c>
      <c r="S43" s="48" t="str">
        <f>IF('A.PL. '!D44=0," ",'A.PL. '!D44)</f>
        <v xml:space="preserve"> </v>
      </c>
      <c r="T43" s="95" t="str">
        <f>IF('A.PL. '!E44=0," ",'A.PL. '!E44)</f>
        <v xml:space="preserve"> </v>
      </c>
      <c r="U43" s="96" t="str">
        <f>IF(MAT!C44=0," ",MAT!C44)</f>
        <v xml:space="preserve"> </v>
      </c>
      <c r="V43" s="48" t="str">
        <f>IF(MAT!D44=0," ",MAT!D44)</f>
        <v xml:space="preserve"> </v>
      </c>
      <c r="W43" s="95" t="str">
        <f>IF(MAT!E44=0," ",MAT!E44)</f>
        <v xml:space="preserve"> </v>
      </c>
      <c r="X43" s="96" t="str">
        <f>IF('T. TEC. GRAL'!C44=0," ",'T. TEC. GRAL'!C44)</f>
        <v xml:space="preserve"> </v>
      </c>
      <c r="Y43" s="48" t="str">
        <f>IF('T. TEC. GRAL'!D44=0," ",'T. TEC. GRAL'!D44)</f>
        <v xml:space="preserve"> </v>
      </c>
      <c r="Z43" s="95" t="str">
        <f>IF('T. TEC. GRAL'!E44=0," ",'T. TEC. GRAL'!E44)</f>
        <v xml:space="preserve"> </v>
      </c>
      <c r="AA43" s="96" t="str">
        <f>IF('BIO-GEO'!C44=0," ",'BIO-GEO'!C44)</f>
        <v xml:space="preserve"> </v>
      </c>
      <c r="AB43" s="48" t="str">
        <f>IF('BIO-GEO'!D44=0," ",'BIO-GEO'!D44)</f>
        <v xml:space="preserve"> </v>
      </c>
      <c r="AC43" s="95" t="str">
        <f>IF('BIO-GEO'!E44=0," ",'BIO-GEO'!E44)</f>
        <v xml:space="preserve"> </v>
      </c>
      <c r="AD43" s="92" t="str">
        <f>IF(PSI!C44=0," ",PSI!C44)</f>
        <v xml:space="preserve"> </v>
      </c>
      <c r="AE43" s="48" t="str">
        <f>IF(PSI!D44=0," ",PSI!D44)</f>
        <v xml:space="preserve"> </v>
      </c>
      <c r="AF43" s="95" t="str">
        <f>IF(PSI!E44=0," ",PSI!E44)</f>
        <v xml:space="preserve"> </v>
      </c>
      <c r="AG43" s="96" t="str">
        <f>IF('REL.'!C44=0," ",'REL.'!C44)</f>
        <v xml:space="preserve"> </v>
      </c>
      <c r="AH43" s="48" t="str">
        <f>IF('REL.'!D44=0," ",'REL.'!D44)</f>
        <v xml:space="preserve"> </v>
      </c>
      <c r="AI43" s="95" t="str">
        <f>IF('REL.'!E44=0," ",'REL.'!E44)</f>
        <v xml:space="preserve"> </v>
      </c>
      <c r="AL43" s="239">
        <f t="shared" si="0"/>
        <v>0</v>
      </c>
      <c r="AM43" s="239">
        <f t="shared" si="1"/>
        <v>0</v>
      </c>
      <c r="AN43" s="239">
        <f t="shared" si="2"/>
        <v>0</v>
      </c>
    </row>
    <row r="44" spans="1:40">
      <c r="A44" s="60">
        <f>NOMINA!A45</f>
        <v>40</v>
      </c>
      <c r="B44" s="129">
        <f>NOMINA!B45</f>
        <v>0</v>
      </c>
      <c r="C44" s="48" t="str">
        <f>IF(LEN!C45=0," ",LEN!C45)</f>
        <v xml:space="preserve"> </v>
      </c>
      <c r="D44" s="48" t="str">
        <f>IF(LEN!D45=0," ",LEN!D45)</f>
        <v xml:space="preserve"> </v>
      </c>
      <c r="E44" s="95" t="str">
        <f>IF(LEN!E45=0," ",LEN!E45)</f>
        <v xml:space="preserve"> </v>
      </c>
      <c r="F44" s="48" t="str">
        <f>IF(ING!C45=0," ",ING!C45)</f>
        <v xml:space="preserve"> </v>
      </c>
      <c r="G44" s="48" t="str">
        <f>IF(ING!D45=0," ",ING!D45)</f>
        <v xml:space="preserve"> </v>
      </c>
      <c r="H44" s="95" t="str">
        <f>IF(ING!E45=0," ",ING!E45)</f>
        <v xml:space="preserve"> </v>
      </c>
      <c r="I44" s="48" t="str">
        <f>IF('C.SOC'!C45=0," ",'C.SOC'!C45)</f>
        <v xml:space="preserve"> </v>
      </c>
      <c r="J44" s="48" t="str">
        <f>IF('C.SOC'!D45=0," ",'C.SOC'!D45)</f>
        <v xml:space="preserve"> </v>
      </c>
      <c r="K44" s="95" t="str">
        <f>IF('C.SOC'!E45=0," ",'C.SOC'!E45)</f>
        <v xml:space="preserve"> </v>
      </c>
      <c r="L44" s="48" t="str">
        <f>IF('E. FIS.'!C45=0," ",'E. FIS.'!C45)</f>
        <v xml:space="preserve"> </v>
      </c>
      <c r="M44" s="48" t="str">
        <f>IF('E. FIS.'!D45=0," ",'E. FIS.'!D45)</f>
        <v xml:space="preserve"> </v>
      </c>
      <c r="N44" s="95" t="str">
        <f>IF('E. FIS.'!E45=0," ",'E. FIS.'!E45)</f>
        <v xml:space="preserve"> </v>
      </c>
      <c r="O44" s="48" t="str">
        <f>IF(MUS.!C45=0," ",MUS.!C45)</f>
        <v xml:space="preserve"> </v>
      </c>
      <c r="P44" s="48" t="str">
        <f>IF(MUS.!D45=0," ",MUS.!D45)</f>
        <v xml:space="preserve"> </v>
      </c>
      <c r="Q44" s="95" t="str">
        <f>IF(MUS.!E45=0," ",MUS.!E45)</f>
        <v xml:space="preserve"> </v>
      </c>
      <c r="R44" s="96" t="str">
        <f>IF('A.PL. '!C45=0," ",'A.PL. '!C45)</f>
        <v xml:space="preserve"> </v>
      </c>
      <c r="S44" s="48" t="str">
        <f>IF('A.PL. '!D45=0," ",'A.PL. '!D45)</f>
        <v xml:space="preserve"> </v>
      </c>
      <c r="T44" s="95" t="str">
        <f>IF('A.PL. '!E45=0," ",'A.PL. '!E45)</f>
        <v xml:space="preserve"> </v>
      </c>
      <c r="U44" s="96" t="str">
        <f>IF(MAT!C45=0," ",MAT!C45)</f>
        <v xml:space="preserve"> </v>
      </c>
      <c r="V44" s="48" t="str">
        <f>IF(MAT!D45=0," ",MAT!D45)</f>
        <v xml:space="preserve"> </v>
      </c>
      <c r="W44" s="95" t="str">
        <f>IF(MAT!E45=0," ",MAT!E45)</f>
        <v xml:space="preserve"> </v>
      </c>
      <c r="X44" s="96" t="str">
        <f>IF('T. TEC. GRAL'!C45=0," ",'T. TEC. GRAL'!C45)</f>
        <v xml:space="preserve"> </v>
      </c>
      <c r="Y44" s="48" t="str">
        <f>IF('T. TEC. GRAL'!D45=0," ",'T. TEC. GRAL'!D45)</f>
        <v xml:space="preserve"> </v>
      </c>
      <c r="Z44" s="95" t="str">
        <f>IF('T. TEC. GRAL'!E45=0," ",'T. TEC. GRAL'!E45)</f>
        <v xml:space="preserve"> </v>
      </c>
      <c r="AA44" s="96" t="str">
        <f>IF('BIO-GEO'!C45=0," ",'BIO-GEO'!C45)</f>
        <v xml:space="preserve"> </v>
      </c>
      <c r="AB44" s="48" t="str">
        <f>IF('BIO-GEO'!D45=0," ",'BIO-GEO'!D45)</f>
        <v xml:space="preserve"> </v>
      </c>
      <c r="AC44" s="95" t="str">
        <f>IF('BIO-GEO'!E45=0," ",'BIO-GEO'!E45)</f>
        <v xml:space="preserve"> </v>
      </c>
      <c r="AD44" s="92" t="str">
        <f>IF(PSI!C45=0," ",PSI!C45)</f>
        <v xml:space="preserve"> </v>
      </c>
      <c r="AE44" s="48" t="str">
        <f>IF(PSI!D45=0," ",PSI!D45)</f>
        <v xml:space="preserve"> </v>
      </c>
      <c r="AF44" s="95" t="str">
        <f>IF(PSI!E45=0," ",PSI!E45)</f>
        <v xml:space="preserve"> </v>
      </c>
      <c r="AG44" s="96" t="str">
        <f>IF('REL.'!C45=0," ",'REL.'!C45)</f>
        <v xml:space="preserve"> </v>
      </c>
      <c r="AH44" s="48" t="str">
        <f>IF('REL.'!D45=0," ",'REL.'!D45)</f>
        <v xml:space="preserve"> </v>
      </c>
      <c r="AI44" s="95" t="str">
        <f>IF('REL.'!E45=0," ",'REL.'!E45)</f>
        <v xml:space="preserve"> </v>
      </c>
      <c r="AL44" s="239">
        <f t="shared" si="0"/>
        <v>0</v>
      </c>
      <c r="AM44" s="239">
        <f t="shared" si="1"/>
        <v>0</v>
      </c>
      <c r="AN44" s="239">
        <f t="shared" si="2"/>
        <v>0</v>
      </c>
    </row>
    <row r="45" spans="1:40">
      <c r="A45" s="60">
        <f>NOMINA!A46</f>
        <v>41</v>
      </c>
      <c r="B45" s="129">
        <f>NOMINA!B46</f>
        <v>0</v>
      </c>
      <c r="C45" s="48" t="str">
        <f>IF(LEN!C46=0," ",LEN!C46)</f>
        <v xml:space="preserve"> </v>
      </c>
      <c r="D45" s="48" t="str">
        <f>IF(LEN!D46=0," ",LEN!D46)</f>
        <v xml:space="preserve"> </v>
      </c>
      <c r="E45" s="95" t="str">
        <f>IF(LEN!E46=0," ",LEN!E46)</f>
        <v xml:space="preserve"> </v>
      </c>
      <c r="F45" s="48" t="str">
        <f>IF(ING!C46=0," ",ING!C46)</f>
        <v xml:space="preserve"> </v>
      </c>
      <c r="G45" s="48" t="str">
        <f>IF(ING!D46=0," ",ING!D46)</f>
        <v xml:space="preserve"> </v>
      </c>
      <c r="H45" s="95" t="str">
        <f>IF(ING!E46=0," ",ING!E46)</f>
        <v xml:space="preserve"> </v>
      </c>
      <c r="I45" s="48" t="str">
        <f>IF('C.SOC'!C46=0," ",'C.SOC'!C46)</f>
        <v xml:space="preserve"> </v>
      </c>
      <c r="J45" s="48" t="str">
        <f>IF('C.SOC'!D46=0," ",'C.SOC'!D46)</f>
        <v xml:space="preserve"> </v>
      </c>
      <c r="K45" s="95" t="str">
        <f>IF('C.SOC'!E46=0," ",'C.SOC'!E46)</f>
        <v xml:space="preserve"> </v>
      </c>
      <c r="L45" s="48" t="str">
        <f>IF('E. FIS.'!C46=0," ",'E. FIS.'!C46)</f>
        <v xml:space="preserve"> </v>
      </c>
      <c r="M45" s="48" t="str">
        <f>IF('E. FIS.'!D46=0," ",'E. FIS.'!D46)</f>
        <v xml:space="preserve"> </v>
      </c>
      <c r="N45" s="95" t="str">
        <f>IF('E. FIS.'!E46=0," ",'E. FIS.'!E46)</f>
        <v xml:space="preserve"> </v>
      </c>
      <c r="O45" s="48" t="str">
        <f>IF(MUS.!C46=0," ",MUS.!C46)</f>
        <v xml:space="preserve"> </v>
      </c>
      <c r="P45" s="48" t="str">
        <f>IF(MUS.!D46=0," ",MUS.!D46)</f>
        <v xml:space="preserve"> </v>
      </c>
      <c r="Q45" s="95" t="str">
        <f>IF(MUS.!E46=0," ",MUS.!E46)</f>
        <v xml:space="preserve"> </v>
      </c>
      <c r="R45" s="96" t="str">
        <f>IF('A.PL. '!C46=0," ",'A.PL. '!C46)</f>
        <v xml:space="preserve"> </v>
      </c>
      <c r="S45" s="48" t="str">
        <f>IF('A.PL. '!D46=0," ",'A.PL. '!D46)</f>
        <v xml:space="preserve"> </v>
      </c>
      <c r="T45" s="95" t="str">
        <f>IF('A.PL. '!E46=0," ",'A.PL. '!E46)</f>
        <v xml:space="preserve"> </v>
      </c>
      <c r="U45" s="96" t="str">
        <f>IF(MAT!C46=0," ",MAT!C46)</f>
        <v xml:space="preserve"> </v>
      </c>
      <c r="V45" s="48" t="str">
        <f>IF(MAT!D46=0," ",MAT!D46)</f>
        <v xml:space="preserve"> </v>
      </c>
      <c r="W45" s="95" t="str">
        <f>IF(MAT!E46=0," ",MAT!E46)</f>
        <v xml:space="preserve"> </v>
      </c>
      <c r="X45" s="96" t="str">
        <f>IF('T. TEC. GRAL'!C46=0," ",'T. TEC. GRAL'!C46)</f>
        <v xml:space="preserve"> </v>
      </c>
      <c r="Y45" s="48" t="str">
        <f>IF('T. TEC. GRAL'!D46=0," ",'T. TEC. GRAL'!D46)</f>
        <v xml:space="preserve"> </v>
      </c>
      <c r="Z45" s="95" t="str">
        <f>IF('T. TEC. GRAL'!E46=0," ",'T. TEC. GRAL'!E46)</f>
        <v xml:space="preserve"> </v>
      </c>
      <c r="AA45" s="96" t="str">
        <f>IF('BIO-GEO'!C46=0," ",'BIO-GEO'!C46)</f>
        <v xml:space="preserve"> </v>
      </c>
      <c r="AB45" s="48" t="str">
        <f>IF('BIO-GEO'!D46=0," ",'BIO-GEO'!D46)</f>
        <v xml:space="preserve"> </v>
      </c>
      <c r="AC45" s="95" t="str">
        <f>IF('BIO-GEO'!E46=0," ",'BIO-GEO'!E46)</f>
        <v xml:space="preserve"> </v>
      </c>
      <c r="AD45" s="92" t="str">
        <f>IF(PSI!C46=0," ",PSI!C46)</f>
        <v xml:space="preserve"> </v>
      </c>
      <c r="AE45" s="48" t="str">
        <f>IF(PSI!D46=0," ",PSI!D46)</f>
        <v xml:space="preserve"> </v>
      </c>
      <c r="AF45" s="95" t="str">
        <f>IF(PSI!E46=0," ",PSI!E46)</f>
        <v xml:space="preserve"> </v>
      </c>
      <c r="AG45" s="96" t="str">
        <f>IF('REL.'!C46=0," ",'REL.'!C46)</f>
        <v xml:space="preserve"> </v>
      </c>
      <c r="AH45" s="48" t="str">
        <f>IF('REL.'!D46=0," ",'REL.'!D46)</f>
        <v xml:space="preserve"> </v>
      </c>
      <c r="AI45" s="95" t="str">
        <f>IF('REL.'!E46=0," ",'REL.'!E46)</f>
        <v xml:space="preserve"> </v>
      </c>
      <c r="AL45" s="239">
        <f t="shared" si="0"/>
        <v>0</v>
      </c>
      <c r="AM45" s="239">
        <f t="shared" si="1"/>
        <v>0</v>
      </c>
      <c r="AN45" s="239">
        <f t="shared" si="2"/>
        <v>0</v>
      </c>
    </row>
    <row r="46" spans="1:40">
      <c r="A46" s="18"/>
      <c r="B46" s="86"/>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row>
    <row r="47" spans="1:40" ht="19.5" customHeight="1">
      <c r="A47" s="18"/>
      <c r="B47" s="88" t="s">
        <v>21</v>
      </c>
      <c r="C47" s="97">
        <f>COUNTIF(C5:C45,"&gt;50")</f>
        <v>25</v>
      </c>
      <c r="D47" s="97">
        <f t="shared" ref="D47:AI47" si="3">COUNTIF(D5:D45,"&gt;50")</f>
        <v>0</v>
      </c>
      <c r="E47" s="97">
        <f t="shared" si="3"/>
        <v>0</v>
      </c>
      <c r="F47" s="97">
        <f t="shared" si="3"/>
        <v>27</v>
      </c>
      <c r="G47" s="97">
        <f t="shared" si="3"/>
        <v>0</v>
      </c>
      <c r="H47" s="97">
        <f t="shared" si="3"/>
        <v>0</v>
      </c>
      <c r="I47" s="97">
        <f t="shared" si="3"/>
        <v>25</v>
      </c>
      <c r="J47" s="97">
        <f t="shared" si="3"/>
        <v>0</v>
      </c>
      <c r="K47" s="97">
        <f t="shared" si="3"/>
        <v>0</v>
      </c>
      <c r="L47" s="97">
        <f t="shared" si="3"/>
        <v>33</v>
      </c>
      <c r="M47" s="97">
        <f t="shared" si="3"/>
        <v>0</v>
      </c>
      <c r="N47" s="97">
        <f t="shared" si="3"/>
        <v>0</v>
      </c>
      <c r="O47" s="97">
        <f t="shared" si="3"/>
        <v>31</v>
      </c>
      <c r="P47" s="97">
        <f t="shared" si="3"/>
        <v>0</v>
      </c>
      <c r="Q47" s="97">
        <f t="shared" si="3"/>
        <v>0</v>
      </c>
      <c r="R47" s="97">
        <f t="shared" si="3"/>
        <v>35</v>
      </c>
      <c r="S47" s="97">
        <f t="shared" si="3"/>
        <v>0</v>
      </c>
      <c r="T47" s="97">
        <f t="shared" si="3"/>
        <v>0</v>
      </c>
      <c r="U47" s="97">
        <f t="shared" si="3"/>
        <v>27</v>
      </c>
      <c r="V47" s="97">
        <f t="shared" si="3"/>
        <v>0</v>
      </c>
      <c r="W47" s="97">
        <f t="shared" si="3"/>
        <v>0</v>
      </c>
      <c r="X47" s="97">
        <f t="shared" si="3"/>
        <v>31</v>
      </c>
      <c r="Y47" s="97">
        <f t="shared" si="3"/>
        <v>0</v>
      </c>
      <c r="Z47" s="97">
        <f t="shared" si="3"/>
        <v>0</v>
      </c>
      <c r="AA47" s="97">
        <f t="shared" si="3"/>
        <v>33</v>
      </c>
      <c r="AB47" s="97">
        <f t="shared" si="3"/>
        <v>0</v>
      </c>
      <c r="AC47" s="97">
        <f t="shared" si="3"/>
        <v>0</v>
      </c>
      <c r="AD47" s="97">
        <f t="shared" si="3"/>
        <v>30</v>
      </c>
      <c r="AE47" s="97">
        <f t="shared" si="3"/>
        <v>0</v>
      </c>
      <c r="AF47" s="97">
        <f t="shared" si="3"/>
        <v>0</v>
      </c>
      <c r="AG47" s="97">
        <f t="shared" si="3"/>
        <v>35</v>
      </c>
      <c r="AH47" s="97">
        <f t="shared" si="3"/>
        <v>0</v>
      </c>
      <c r="AI47" s="97">
        <f t="shared" si="3"/>
        <v>0</v>
      </c>
    </row>
    <row r="48" spans="1:40" ht="17.25" customHeight="1">
      <c r="A48" s="18"/>
      <c r="B48" s="88" t="s">
        <v>22</v>
      </c>
      <c r="C48" s="97">
        <f>COUNTIF(C5:C45,"&lt;51")</f>
        <v>10</v>
      </c>
      <c r="D48" s="97">
        <f t="shared" ref="D48:AI48" si="4">COUNTIF(D5:D45,"&lt;51")</f>
        <v>0</v>
      </c>
      <c r="E48" s="97">
        <f t="shared" si="4"/>
        <v>0</v>
      </c>
      <c r="F48" s="97">
        <f t="shared" si="4"/>
        <v>8</v>
      </c>
      <c r="G48" s="97">
        <f t="shared" si="4"/>
        <v>0</v>
      </c>
      <c r="H48" s="97">
        <f t="shared" si="4"/>
        <v>0</v>
      </c>
      <c r="I48" s="97">
        <f t="shared" si="4"/>
        <v>10</v>
      </c>
      <c r="J48" s="97">
        <f t="shared" si="4"/>
        <v>0</v>
      </c>
      <c r="K48" s="97">
        <f t="shared" si="4"/>
        <v>0</v>
      </c>
      <c r="L48" s="97">
        <f t="shared" si="4"/>
        <v>2</v>
      </c>
      <c r="M48" s="97">
        <f t="shared" si="4"/>
        <v>0</v>
      </c>
      <c r="N48" s="97">
        <f t="shared" si="4"/>
        <v>0</v>
      </c>
      <c r="O48" s="97">
        <f t="shared" si="4"/>
        <v>4</v>
      </c>
      <c r="P48" s="97">
        <f t="shared" si="4"/>
        <v>0</v>
      </c>
      <c r="Q48" s="97">
        <f t="shared" si="4"/>
        <v>0</v>
      </c>
      <c r="R48" s="97">
        <f t="shared" si="4"/>
        <v>0</v>
      </c>
      <c r="S48" s="97">
        <f t="shared" si="4"/>
        <v>0</v>
      </c>
      <c r="T48" s="97">
        <f t="shared" si="4"/>
        <v>0</v>
      </c>
      <c r="U48" s="97">
        <f t="shared" si="4"/>
        <v>8</v>
      </c>
      <c r="V48" s="97">
        <f t="shared" si="4"/>
        <v>0</v>
      </c>
      <c r="W48" s="97">
        <f t="shared" si="4"/>
        <v>0</v>
      </c>
      <c r="X48" s="97">
        <f t="shared" si="4"/>
        <v>4</v>
      </c>
      <c r="Y48" s="97">
        <f t="shared" si="4"/>
        <v>0</v>
      </c>
      <c r="Z48" s="97">
        <f t="shared" si="4"/>
        <v>0</v>
      </c>
      <c r="AA48" s="97">
        <f t="shared" si="4"/>
        <v>2</v>
      </c>
      <c r="AB48" s="97">
        <f t="shared" si="4"/>
        <v>0</v>
      </c>
      <c r="AC48" s="97">
        <f t="shared" si="4"/>
        <v>0</v>
      </c>
      <c r="AD48" s="97">
        <f t="shared" si="4"/>
        <v>5</v>
      </c>
      <c r="AE48" s="97">
        <f t="shared" si="4"/>
        <v>0</v>
      </c>
      <c r="AF48" s="97">
        <f t="shared" si="4"/>
        <v>0</v>
      </c>
      <c r="AG48" s="97">
        <f t="shared" si="4"/>
        <v>0</v>
      </c>
      <c r="AH48" s="97">
        <f t="shared" si="4"/>
        <v>0</v>
      </c>
      <c r="AI48" s="97">
        <f t="shared" si="4"/>
        <v>0</v>
      </c>
    </row>
    <row r="49" spans="1:35">
      <c r="A49" s="18"/>
      <c r="B49" s="90" t="s">
        <v>27</v>
      </c>
      <c r="C49" s="98">
        <f>SUM(C47:C48)</f>
        <v>35</v>
      </c>
      <c r="D49" s="98">
        <f>SUM(D47:D48)</f>
        <v>0</v>
      </c>
      <c r="E49" s="99">
        <f t="shared" ref="E49:AI49" si="5">SUM(E47:E48)</f>
        <v>0</v>
      </c>
      <c r="F49" s="98">
        <f t="shared" si="5"/>
        <v>35</v>
      </c>
      <c r="G49" s="98">
        <f t="shared" si="5"/>
        <v>0</v>
      </c>
      <c r="H49" s="98">
        <f t="shared" si="5"/>
        <v>0</v>
      </c>
      <c r="I49" s="98">
        <f t="shared" si="5"/>
        <v>35</v>
      </c>
      <c r="J49" s="98">
        <f t="shared" si="5"/>
        <v>0</v>
      </c>
      <c r="K49" s="99">
        <f t="shared" si="5"/>
        <v>0</v>
      </c>
      <c r="L49" s="98">
        <f t="shared" si="5"/>
        <v>35</v>
      </c>
      <c r="M49" s="98">
        <f t="shared" si="5"/>
        <v>0</v>
      </c>
      <c r="N49" s="99">
        <f t="shared" si="5"/>
        <v>0</v>
      </c>
      <c r="O49" s="98">
        <f t="shared" si="5"/>
        <v>35</v>
      </c>
      <c r="P49" s="98">
        <f t="shared" si="5"/>
        <v>0</v>
      </c>
      <c r="Q49" s="99">
        <f t="shared" si="5"/>
        <v>0</v>
      </c>
      <c r="R49" s="98">
        <f t="shared" si="5"/>
        <v>35</v>
      </c>
      <c r="S49" s="98">
        <f t="shared" si="5"/>
        <v>0</v>
      </c>
      <c r="T49" s="99">
        <f t="shared" si="5"/>
        <v>0</v>
      </c>
      <c r="U49" s="98">
        <f t="shared" si="5"/>
        <v>35</v>
      </c>
      <c r="V49" s="98">
        <f t="shared" si="5"/>
        <v>0</v>
      </c>
      <c r="W49" s="99">
        <f t="shared" si="5"/>
        <v>0</v>
      </c>
      <c r="X49" s="98">
        <f t="shared" si="5"/>
        <v>35</v>
      </c>
      <c r="Y49" s="98">
        <f t="shared" si="5"/>
        <v>0</v>
      </c>
      <c r="Z49" s="99">
        <f t="shared" si="5"/>
        <v>0</v>
      </c>
      <c r="AA49" s="98">
        <f t="shared" si="5"/>
        <v>35</v>
      </c>
      <c r="AB49" s="98">
        <f t="shared" si="5"/>
        <v>0</v>
      </c>
      <c r="AC49" s="99">
        <f t="shared" si="5"/>
        <v>0</v>
      </c>
      <c r="AD49" s="98">
        <f t="shared" si="5"/>
        <v>35</v>
      </c>
      <c r="AE49" s="98">
        <f t="shared" si="5"/>
        <v>0</v>
      </c>
      <c r="AF49" s="99">
        <f t="shared" si="5"/>
        <v>0</v>
      </c>
      <c r="AG49" s="98">
        <f t="shared" si="5"/>
        <v>35</v>
      </c>
      <c r="AH49" s="98">
        <f t="shared" si="5"/>
        <v>0</v>
      </c>
      <c r="AI49" s="99">
        <f t="shared" si="5"/>
        <v>0</v>
      </c>
    </row>
    <row r="50" spans="1: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row>
    <row r="51" spans="1:35">
      <c r="A51" s="18"/>
      <c r="B51" s="90" t="s">
        <v>29</v>
      </c>
      <c r="C51" s="153">
        <f t="shared" ref="C51:I51" si="6">((C47/C49)*100)</f>
        <v>71.428571428571431</v>
      </c>
      <c r="D51" s="153" t="e">
        <f t="shared" si="6"/>
        <v>#DIV/0!</v>
      </c>
      <c r="E51" s="154" t="e">
        <f t="shared" si="6"/>
        <v>#DIV/0!</v>
      </c>
      <c r="F51" s="153">
        <f t="shared" si="6"/>
        <v>77.142857142857153</v>
      </c>
      <c r="G51" s="153" t="e">
        <f t="shared" si="6"/>
        <v>#DIV/0!</v>
      </c>
      <c r="H51" s="154" t="e">
        <f t="shared" si="6"/>
        <v>#DIV/0!</v>
      </c>
      <c r="I51" s="153">
        <f t="shared" si="6"/>
        <v>71.428571428571431</v>
      </c>
      <c r="J51" s="153" t="e">
        <f t="shared" ref="J51:AI51" si="7">((J47/J49)*100)</f>
        <v>#DIV/0!</v>
      </c>
      <c r="K51" s="154" t="e">
        <f t="shared" si="7"/>
        <v>#DIV/0!</v>
      </c>
      <c r="L51" s="153">
        <f t="shared" si="7"/>
        <v>94.285714285714278</v>
      </c>
      <c r="M51" s="153" t="e">
        <f t="shared" si="7"/>
        <v>#DIV/0!</v>
      </c>
      <c r="N51" s="154" t="e">
        <f t="shared" si="7"/>
        <v>#DIV/0!</v>
      </c>
      <c r="O51" s="153">
        <f t="shared" si="7"/>
        <v>88.571428571428569</v>
      </c>
      <c r="P51" s="153" t="e">
        <f t="shared" si="7"/>
        <v>#DIV/0!</v>
      </c>
      <c r="Q51" s="154" t="e">
        <f t="shared" si="7"/>
        <v>#DIV/0!</v>
      </c>
      <c r="R51" s="153">
        <f t="shared" si="7"/>
        <v>100</v>
      </c>
      <c r="S51" s="153" t="e">
        <f t="shared" si="7"/>
        <v>#DIV/0!</v>
      </c>
      <c r="T51" s="154" t="e">
        <f t="shared" si="7"/>
        <v>#DIV/0!</v>
      </c>
      <c r="U51" s="153">
        <f t="shared" si="7"/>
        <v>77.142857142857153</v>
      </c>
      <c r="V51" s="153" t="e">
        <f t="shared" si="7"/>
        <v>#DIV/0!</v>
      </c>
      <c r="W51" s="154" t="e">
        <f t="shared" si="7"/>
        <v>#DIV/0!</v>
      </c>
      <c r="X51" s="153">
        <f t="shared" si="7"/>
        <v>88.571428571428569</v>
      </c>
      <c r="Y51" s="153" t="e">
        <f t="shared" si="7"/>
        <v>#DIV/0!</v>
      </c>
      <c r="Z51" s="154" t="e">
        <f t="shared" si="7"/>
        <v>#DIV/0!</v>
      </c>
      <c r="AA51" s="153">
        <f t="shared" si="7"/>
        <v>94.285714285714278</v>
      </c>
      <c r="AB51" s="153" t="e">
        <f t="shared" si="7"/>
        <v>#DIV/0!</v>
      </c>
      <c r="AC51" s="154" t="e">
        <f t="shared" si="7"/>
        <v>#DIV/0!</v>
      </c>
      <c r="AD51" s="153">
        <f t="shared" si="7"/>
        <v>85.714285714285708</v>
      </c>
      <c r="AE51" s="153" t="e">
        <f t="shared" si="7"/>
        <v>#DIV/0!</v>
      </c>
      <c r="AF51" s="154" t="e">
        <f t="shared" si="7"/>
        <v>#DIV/0!</v>
      </c>
      <c r="AG51" s="153">
        <f t="shared" si="7"/>
        <v>100</v>
      </c>
      <c r="AH51" s="153" t="e">
        <f t="shared" si="7"/>
        <v>#DIV/0!</v>
      </c>
      <c r="AI51" s="154" t="e">
        <f t="shared" si="7"/>
        <v>#DIV/0!</v>
      </c>
    </row>
    <row r="52" spans="1:35">
      <c r="A52" s="18"/>
      <c r="B52" s="90" t="s">
        <v>28</v>
      </c>
      <c r="C52" s="155">
        <f>100-C51</f>
        <v>28.571428571428569</v>
      </c>
      <c r="D52" s="155" t="e">
        <f t="shared" ref="D52:AI52" si="8">100-D51</f>
        <v>#DIV/0!</v>
      </c>
      <c r="E52" s="156" t="e">
        <f t="shared" si="8"/>
        <v>#DIV/0!</v>
      </c>
      <c r="F52" s="155">
        <f t="shared" si="8"/>
        <v>22.857142857142847</v>
      </c>
      <c r="G52" s="155" t="e">
        <f t="shared" si="8"/>
        <v>#DIV/0!</v>
      </c>
      <c r="H52" s="156" t="e">
        <f t="shared" si="8"/>
        <v>#DIV/0!</v>
      </c>
      <c r="I52" s="155">
        <f t="shared" si="8"/>
        <v>28.571428571428569</v>
      </c>
      <c r="J52" s="155" t="e">
        <f t="shared" si="8"/>
        <v>#DIV/0!</v>
      </c>
      <c r="K52" s="156" t="e">
        <f t="shared" si="8"/>
        <v>#DIV/0!</v>
      </c>
      <c r="L52" s="155">
        <f t="shared" si="8"/>
        <v>5.7142857142857224</v>
      </c>
      <c r="M52" s="155" t="e">
        <f t="shared" si="8"/>
        <v>#DIV/0!</v>
      </c>
      <c r="N52" s="156" t="e">
        <f t="shared" si="8"/>
        <v>#DIV/0!</v>
      </c>
      <c r="O52" s="155">
        <f t="shared" si="8"/>
        <v>11.428571428571431</v>
      </c>
      <c r="P52" s="155" t="e">
        <f t="shared" si="8"/>
        <v>#DIV/0!</v>
      </c>
      <c r="Q52" s="156" t="e">
        <f t="shared" si="8"/>
        <v>#DIV/0!</v>
      </c>
      <c r="R52" s="155">
        <f t="shared" si="8"/>
        <v>0</v>
      </c>
      <c r="S52" s="155" t="e">
        <f t="shared" si="8"/>
        <v>#DIV/0!</v>
      </c>
      <c r="T52" s="156" t="e">
        <f t="shared" si="8"/>
        <v>#DIV/0!</v>
      </c>
      <c r="U52" s="155">
        <f t="shared" si="8"/>
        <v>22.857142857142847</v>
      </c>
      <c r="V52" s="155" t="e">
        <f t="shared" si="8"/>
        <v>#DIV/0!</v>
      </c>
      <c r="W52" s="156" t="e">
        <f t="shared" si="8"/>
        <v>#DIV/0!</v>
      </c>
      <c r="X52" s="155">
        <f t="shared" si="8"/>
        <v>11.428571428571431</v>
      </c>
      <c r="Y52" s="155" t="e">
        <f t="shared" si="8"/>
        <v>#DIV/0!</v>
      </c>
      <c r="Z52" s="156" t="e">
        <f t="shared" si="8"/>
        <v>#DIV/0!</v>
      </c>
      <c r="AA52" s="155">
        <f t="shared" si="8"/>
        <v>5.7142857142857224</v>
      </c>
      <c r="AB52" s="155" t="e">
        <f t="shared" si="8"/>
        <v>#DIV/0!</v>
      </c>
      <c r="AC52" s="156" t="e">
        <f t="shared" si="8"/>
        <v>#DIV/0!</v>
      </c>
      <c r="AD52" s="155">
        <f t="shared" si="8"/>
        <v>14.285714285714292</v>
      </c>
      <c r="AE52" s="155" t="e">
        <f t="shared" si="8"/>
        <v>#DIV/0!</v>
      </c>
      <c r="AF52" s="156" t="e">
        <f t="shared" si="8"/>
        <v>#DIV/0!</v>
      </c>
      <c r="AG52" s="155">
        <f t="shared" si="8"/>
        <v>0</v>
      </c>
      <c r="AH52" s="155" t="e">
        <f t="shared" si="8"/>
        <v>#DIV/0!</v>
      </c>
      <c r="AI52" s="157" t="e">
        <f t="shared" si="8"/>
        <v>#DIV/0!</v>
      </c>
    </row>
    <row r="53" spans="1:35">
      <c r="A53" s="18"/>
      <c r="B53" s="18"/>
      <c r="C53" s="325" t="s">
        <v>15</v>
      </c>
      <c r="D53" s="318"/>
      <c r="E53" s="319"/>
      <c r="F53" s="317" t="s">
        <v>16</v>
      </c>
      <c r="G53" s="318"/>
      <c r="H53" s="319"/>
      <c r="I53" s="317" t="s">
        <v>56</v>
      </c>
      <c r="J53" s="318"/>
      <c r="K53" s="319"/>
      <c r="L53" s="317" t="s">
        <v>23</v>
      </c>
      <c r="M53" s="318"/>
      <c r="N53" s="319"/>
      <c r="O53" s="317" t="s">
        <v>18</v>
      </c>
      <c r="P53" s="318"/>
      <c r="Q53" s="319"/>
      <c r="R53" s="317" t="s">
        <v>40</v>
      </c>
      <c r="S53" s="318"/>
      <c r="T53" s="319"/>
      <c r="U53" s="317" t="s">
        <v>14</v>
      </c>
      <c r="V53" s="318"/>
      <c r="W53" s="319"/>
      <c r="X53" s="317" t="s">
        <v>102</v>
      </c>
      <c r="Y53" s="318"/>
      <c r="Z53" s="319"/>
      <c r="AA53" s="317" t="s">
        <v>103</v>
      </c>
      <c r="AB53" s="318"/>
      <c r="AC53" s="319"/>
      <c r="AD53" s="317" t="s">
        <v>57</v>
      </c>
      <c r="AE53" s="318"/>
      <c r="AF53" s="319"/>
      <c r="AG53" s="317" t="s">
        <v>19</v>
      </c>
      <c r="AH53" s="318"/>
      <c r="AI53" s="319"/>
    </row>
    <row r="54" spans="1: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row>
    <row r="55" spans="1: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row>
    <row r="56" spans="1: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row>
    <row r="57" spans="1: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row>
  </sheetData>
  <mergeCells count="61">
    <mergeCell ref="X2:Z2"/>
    <mergeCell ref="AA2:AC2"/>
    <mergeCell ref="AD2:AF2"/>
    <mergeCell ref="AG2:AI2"/>
    <mergeCell ref="I2:K2"/>
    <mergeCell ref="L2:N2"/>
    <mergeCell ref="O2:Q2"/>
    <mergeCell ref="R2:T2"/>
    <mergeCell ref="U2:W2"/>
    <mergeCell ref="B2:B3"/>
    <mergeCell ref="H3:H4"/>
    <mergeCell ref="D3:D4"/>
    <mergeCell ref="E3:E4"/>
    <mergeCell ref="F3:F4"/>
    <mergeCell ref="G3:G4"/>
    <mergeCell ref="C3:C4"/>
    <mergeCell ref="C2:E2"/>
    <mergeCell ref="F2:H2"/>
    <mergeCell ref="Y3:Y4"/>
    <mergeCell ref="AF3:AF4"/>
    <mergeCell ref="AG3:AG4"/>
    <mergeCell ref="AH3:AH4"/>
    <mergeCell ref="AI3:AI4"/>
    <mergeCell ref="AB3:AB4"/>
    <mergeCell ref="J3:J4"/>
    <mergeCell ref="K3:K4"/>
    <mergeCell ref="L3:L4"/>
    <mergeCell ref="M3:M4"/>
    <mergeCell ref="S3:S4"/>
    <mergeCell ref="N3:N4"/>
    <mergeCell ref="O3:O4"/>
    <mergeCell ref="P3:P4"/>
    <mergeCell ref="Q3:Q4"/>
    <mergeCell ref="R3:R4"/>
    <mergeCell ref="C53:E53"/>
    <mergeCell ref="F53:H53"/>
    <mergeCell ref="I53:K53"/>
    <mergeCell ref="L53:N53"/>
    <mergeCell ref="O53:Q53"/>
    <mergeCell ref="F1:AI1"/>
    <mergeCell ref="R53:T53"/>
    <mergeCell ref="U53:W53"/>
    <mergeCell ref="X53:Z53"/>
    <mergeCell ref="AA53:AC53"/>
    <mergeCell ref="Z3:Z4"/>
    <mergeCell ref="AA3:AA4"/>
    <mergeCell ref="AC3:AC4"/>
    <mergeCell ref="AD3:AD4"/>
    <mergeCell ref="AE3:AE4"/>
    <mergeCell ref="U3:U4"/>
    <mergeCell ref="V3:V4"/>
    <mergeCell ref="W3:W4"/>
    <mergeCell ref="X3:X4"/>
    <mergeCell ref="T3:T4"/>
    <mergeCell ref="I3:I4"/>
    <mergeCell ref="AL2:AN2"/>
    <mergeCell ref="AL3:AL4"/>
    <mergeCell ref="AM3:AM4"/>
    <mergeCell ref="AN3:AN4"/>
    <mergeCell ref="AD53:AF53"/>
    <mergeCell ref="AG53:AI53"/>
  </mergeCells>
  <conditionalFormatting sqref="C5:AI45">
    <cfRule type="cellIs" dxfId="5" priority="1" operator="lessThan">
      <formula>51</formula>
    </cfRule>
  </conditionalFormatting>
  <conditionalFormatting sqref="C5:AI46">
    <cfRule type="cellIs" dxfId="4" priority="2" operator="lessThan">
      <formula>36</formula>
    </cfRule>
  </conditionalFormatting>
  <pageMargins left="1.54" right="0.23622047244094491" top="0.31496062992125984" bottom="0.23622047244094491" header="0.23622047244094491" footer="0.15748031496062992"/>
  <pageSetup paperSize="5" scale="95" orientation="landscape" horizontalDpi="4294967294"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6"/>
  <dimension ref="A1:R47"/>
  <sheetViews>
    <sheetView tabSelected="1" workbookViewId="0">
      <pane ySplit="3" topLeftCell="A31" activePane="bottomLeft" state="frozen"/>
      <selection pane="bottomLeft" activeCell="W38" sqref="W38"/>
    </sheetView>
  </sheetViews>
  <sheetFormatPr defaultColWidth="11.42578125" defaultRowHeight="15"/>
  <cols>
    <col min="1" max="1" width="3.28515625" customWidth="1"/>
    <col min="2" max="2" width="38.42578125" bestFit="1" customWidth="1"/>
    <col min="3" max="13" width="4.85546875" customWidth="1"/>
    <col min="14" max="14" width="7.5703125" customWidth="1"/>
    <col min="15" max="15" width="2.42578125" customWidth="1"/>
    <col min="16" max="17" width="7" customWidth="1"/>
    <col min="18" max="18" width="15.42578125" customWidth="1"/>
  </cols>
  <sheetData>
    <row r="1" spans="1:18" ht="12" customHeight="1" thickBot="1">
      <c r="A1" s="18"/>
      <c r="B1" s="18"/>
      <c r="C1" s="18"/>
      <c r="D1" s="18"/>
      <c r="E1" s="18"/>
      <c r="F1" s="18"/>
      <c r="G1" s="18"/>
      <c r="H1" s="18"/>
      <c r="I1" s="18"/>
      <c r="J1" s="18"/>
      <c r="K1" s="18"/>
      <c r="L1" s="18"/>
      <c r="M1" s="18"/>
      <c r="N1" s="18"/>
    </row>
    <row r="2" spans="1:18" ht="26.25" customHeight="1">
      <c r="A2" s="242" t="str">
        <f>NOMINA!$B$2</f>
        <v>CURSO 2A</v>
      </c>
      <c r="B2" s="243"/>
      <c r="C2" s="246" t="s">
        <v>15</v>
      </c>
      <c r="D2" s="240" t="s">
        <v>16</v>
      </c>
      <c r="E2" s="240" t="s">
        <v>56</v>
      </c>
      <c r="F2" s="240" t="s">
        <v>23</v>
      </c>
      <c r="G2" s="240" t="s">
        <v>18</v>
      </c>
      <c r="H2" s="240" t="s">
        <v>40</v>
      </c>
      <c r="I2" s="240" t="s">
        <v>14</v>
      </c>
      <c r="J2" s="240" t="s">
        <v>104</v>
      </c>
      <c r="K2" s="240" t="s">
        <v>48</v>
      </c>
      <c r="L2" s="240" t="s">
        <v>57</v>
      </c>
      <c r="M2" s="251" t="s">
        <v>19</v>
      </c>
      <c r="N2" s="248" t="s">
        <v>73</v>
      </c>
    </row>
    <row r="3" spans="1:18" ht="21.75" customHeight="1" thickBot="1">
      <c r="A3" s="244"/>
      <c r="B3" s="245"/>
      <c r="C3" s="247"/>
      <c r="D3" s="241"/>
      <c r="E3" s="241"/>
      <c r="F3" s="241"/>
      <c r="G3" s="241"/>
      <c r="H3" s="241"/>
      <c r="I3" s="241"/>
      <c r="J3" s="241"/>
      <c r="K3" s="241"/>
      <c r="L3" s="241"/>
      <c r="M3" s="252"/>
      <c r="N3" s="249"/>
    </row>
    <row r="4" spans="1:18" ht="18.75">
      <c r="A4" s="60">
        <f>NOMINA!A6</f>
        <v>1</v>
      </c>
      <c r="B4" s="196" t="str">
        <f>NOMINA!B6</f>
        <v>ABREU MARRERO LIZ DANIELA</v>
      </c>
      <c r="C4" s="138" t="str">
        <f>IF(GRAL.!C5&lt;51,GRAL.!C5," ")</f>
        <v xml:space="preserve"> </v>
      </c>
      <c r="D4" s="138" t="str">
        <f>IF(GRAL.!F5&lt;51,GRAL.!F5," ")</f>
        <v xml:space="preserve"> </v>
      </c>
      <c r="E4" s="138" t="str">
        <f>IF(GRAL.!I5&lt;51,GRAL.!I5," ")</f>
        <v xml:space="preserve"> </v>
      </c>
      <c r="F4" s="138" t="str">
        <f>IF(GRAL.!L5&lt;51,GRAL.!L5," ")</f>
        <v xml:space="preserve"> </v>
      </c>
      <c r="G4" s="138" t="str">
        <f>IF(GRAL.!O5&lt;51,GRAL.!O5," ")</f>
        <v xml:space="preserve"> </v>
      </c>
      <c r="H4" s="138" t="str">
        <f>IF(GRAL.!R5&lt;51,GRAL.!R5," ")</f>
        <v xml:space="preserve"> </v>
      </c>
      <c r="I4" s="138" t="str">
        <f>IF(GRAL.!U5&lt;51,GRAL.!U5," ")</f>
        <v xml:space="preserve"> </v>
      </c>
      <c r="J4" s="138" t="str">
        <f>IF(GRAL.!X5&lt;51,GRAL.!X5," ")</f>
        <v xml:space="preserve"> </v>
      </c>
      <c r="K4" s="138" t="str">
        <f>IF(GRAL.!AA5&lt;51,GRAL.!AA5," ")</f>
        <v xml:space="preserve"> </v>
      </c>
      <c r="L4" s="138" t="str">
        <f>IF(GRAL.!AD5&lt;51,GRAL.!AD5," ")</f>
        <v xml:space="preserve"> </v>
      </c>
      <c r="M4" s="138" t="str">
        <f>IF(GRAL.!AG5&lt;51,GRAL.!AG5," ")</f>
        <v xml:space="preserve"> </v>
      </c>
      <c r="N4" s="229" t="str">
        <f t="shared" ref="N4:N44" si="0">IF(COUNT(C4:M4)=0," ",COUNT(C4:M4))</f>
        <v xml:space="preserve"> </v>
      </c>
    </row>
    <row r="5" spans="1:18" ht="18.75">
      <c r="A5" s="60">
        <f>NOMINA!A7</f>
        <v>2</v>
      </c>
      <c r="B5" s="196" t="str">
        <f>NOMINA!B7</f>
        <v>ALIAGA SAAVEDRA MARCU MAURICIO</v>
      </c>
      <c r="C5" s="138" t="str">
        <f>IF(GRAL.!C6&lt;51,GRAL.!C6," ")</f>
        <v xml:space="preserve"> </v>
      </c>
      <c r="D5" s="138" t="str">
        <f>IF(GRAL.!F6&lt;51,GRAL.!F6," ")</f>
        <v xml:space="preserve"> </v>
      </c>
      <c r="E5" s="138" t="str">
        <f>IF(GRAL.!I6&lt;51,GRAL.!I6," ")</f>
        <v xml:space="preserve"> </v>
      </c>
      <c r="F5" s="138" t="str">
        <f>IF(GRAL.!L6&lt;51,GRAL.!L6," ")</f>
        <v xml:space="preserve"> </v>
      </c>
      <c r="G5" s="138" t="str">
        <f>IF(GRAL.!O6&lt;51,GRAL.!O6," ")</f>
        <v xml:space="preserve"> </v>
      </c>
      <c r="H5" s="138" t="str">
        <f>IF(GRAL.!R6&lt;51,GRAL.!R6," ")</f>
        <v xml:space="preserve"> </v>
      </c>
      <c r="I5" s="138" t="str">
        <f>IF(GRAL.!U6&lt;51,GRAL.!U6," ")</f>
        <v xml:space="preserve"> </v>
      </c>
      <c r="J5" s="138" t="str">
        <f>IF(GRAL.!X6&lt;51,GRAL.!X6," ")</f>
        <v xml:space="preserve"> </v>
      </c>
      <c r="K5" s="138" t="str">
        <f>IF(GRAL.!AA6&lt;51,GRAL.!AA6," ")</f>
        <v xml:space="preserve"> </v>
      </c>
      <c r="L5" s="138" t="str">
        <f>IF(GRAL.!AD6&lt;51,GRAL.!AD6," ")</f>
        <v xml:space="preserve"> </v>
      </c>
      <c r="M5" s="138" t="str">
        <f>IF(GRAL.!AG6&lt;51,GRAL.!AG6," ")</f>
        <v xml:space="preserve"> </v>
      </c>
      <c r="N5" s="229" t="str">
        <f t="shared" si="0"/>
        <v xml:space="preserve"> </v>
      </c>
    </row>
    <row r="6" spans="1:18" ht="18.75">
      <c r="A6" s="60">
        <f>NOMINA!A8</f>
        <v>3</v>
      </c>
      <c r="B6" s="196" t="str">
        <f>NOMINA!B8</f>
        <v>ANTEZANA CACHI JOSE MAXWEL</v>
      </c>
      <c r="C6" s="138" t="str">
        <f>IF(GRAL.!C7&lt;51,GRAL.!C7," ")</f>
        <v xml:space="preserve"> </v>
      </c>
      <c r="D6" s="138" t="str">
        <f>IF(GRAL.!F7&lt;51,GRAL.!F7," ")</f>
        <v xml:space="preserve"> </v>
      </c>
      <c r="E6" s="138" t="str">
        <f>IF(GRAL.!I7&lt;51,GRAL.!I7," ")</f>
        <v xml:space="preserve"> </v>
      </c>
      <c r="F6" s="138" t="str">
        <f>IF(GRAL.!L7&lt;51,GRAL.!L7," ")</f>
        <v xml:space="preserve"> </v>
      </c>
      <c r="G6" s="138" t="str">
        <f>IF(GRAL.!O7&lt;51,GRAL.!O7," ")</f>
        <v xml:space="preserve"> </v>
      </c>
      <c r="H6" s="138" t="str">
        <f>IF(GRAL.!R7&lt;51,GRAL.!R7," ")</f>
        <v xml:space="preserve"> </v>
      </c>
      <c r="I6" s="138" t="str">
        <f>IF(GRAL.!U7&lt;51,GRAL.!U7," ")</f>
        <v xml:space="preserve"> </v>
      </c>
      <c r="J6" s="138" t="str">
        <f>IF(GRAL.!X7&lt;51,GRAL.!X7," ")</f>
        <v xml:space="preserve"> </v>
      </c>
      <c r="K6" s="138" t="str">
        <f>IF(GRAL.!AA7&lt;51,GRAL.!AA7," ")</f>
        <v xml:space="preserve"> </v>
      </c>
      <c r="L6" s="138" t="str">
        <f>IF(GRAL.!AD7&lt;51,GRAL.!AD7," ")</f>
        <v xml:space="preserve"> </v>
      </c>
      <c r="M6" s="138" t="str">
        <f>IF(GRAL.!AG7&lt;51,GRAL.!AG7," ")</f>
        <v xml:space="preserve"> </v>
      </c>
      <c r="N6" s="229" t="str">
        <f t="shared" si="0"/>
        <v xml:space="preserve"> </v>
      </c>
      <c r="Q6" s="250" t="s">
        <v>69</v>
      </c>
      <c r="R6" s="250"/>
    </row>
    <row r="7" spans="1:18" ht="18.75">
      <c r="A7" s="60">
        <f>NOMINA!A9</f>
        <v>4</v>
      </c>
      <c r="B7" s="196" t="str">
        <f>NOMINA!B9</f>
        <v>ARIZACA SALGUERO SANTIAGO</v>
      </c>
      <c r="C7" s="138">
        <f>IF(GRAL.!C8&lt;51,GRAL.!C8," ")</f>
        <v>46</v>
      </c>
      <c r="D7" s="138">
        <f>IF(GRAL.!F8&lt;51,GRAL.!F8," ")</f>
        <v>48</v>
      </c>
      <c r="E7" s="138" t="str">
        <f>IF(GRAL.!I8&lt;51,GRAL.!I8," ")</f>
        <v xml:space="preserve"> </v>
      </c>
      <c r="F7" s="138" t="str">
        <f>IF(GRAL.!L8&lt;51,GRAL.!L8," ")</f>
        <v xml:space="preserve"> </v>
      </c>
      <c r="G7" s="138" t="str">
        <f>IF(GRAL.!O8&lt;51,GRAL.!O8," ")</f>
        <v xml:space="preserve"> </v>
      </c>
      <c r="H7" s="138" t="str">
        <f>IF(GRAL.!R8&lt;51,GRAL.!R8," ")</f>
        <v xml:space="preserve"> </v>
      </c>
      <c r="I7" s="138" t="str">
        <f>IF(GRAL.!U8&lt;51,GRAL.!U8," ")</f>
        <v xml:space="preserve"> </v>
      </c>
      <c r="J7" s="138" t="str">
        <f>IF(GRAL.!X8&lt;51,GRAL.!X8," ")</f>
        <v xml:space="preserve"> </v>
      </c>
      <c r="K7" s="138" t="str">
        <f>IF(GRAL.!AA8&lt;51,GRAL.!AA8," ")</f>
        <v xml:space="preserve"> </v>
      </c>
      <c r="L7" s="138" t="str">
        <f>IF(GRAL.!AD8&lt;51,GRAL.!AD8," ")</f>
        <v xml:space="preserve"> </v>
      </c>
      <c r="M7" s="138" t="str">
        <f>IF(GRAL.!AG8&lt;51,GRAL.!AG8," ")</f>
        <v xml:space="preserve"> </v>
      </c>
      <c r="N7" s="229">
        <f t="shared" si="0"/>
        <v>2</v>
      </c>
    </row>
    <row r="8" spans="1:18" ht="18.75">
      <c r="A8" s="60">
        <f>NOMINA!A10</f>
        <v>5</v>
      </c>
      <c r="B8" s="196" t="str">
        <f>NOMINA!B10</f>
        <v>BAUTISTA GARCIA ALISON LUCIANA</v>
      </c>
      <c r="C8" s="138" t="str">
        <f>IF(GRAL.!C9&lt;51,GRAL.!C9," ")</f>
        <v xml:space="preserve"> </v>
      </c>
      <c r="D8" s="138" t="str">
        <f>IF(GRAL.!F9&lt;51,GRAL.!F9," ")</f>
        <v xml:space="preserve"> </v>
      </c>
      <c r="E8" s="138" t="str">
        <f>IF(GRAL.!I9&lt;51,GRAL.!I9," ")</f>
        <v xml:space="preserve"> </v>
      </c>
      <c r="F8" s="138" t="str">
        <f>IF(GRAL.!L9&lt;51,GRAL.!L9," ")</f>
        <v xml:space="preserve"> </v>
      </c>
      <c r="G8" s="138" t="str">
        <f>IF(GRAL.!O9&lt;51,GRAL.!O9," ")</f>
        <v xml:space="preserve"> </v>
      </c>
      <c r="H8" s="138" t="str">
        <f>IF(GRAL.!R9&lt;51,GRAL.!R9," ")</f>
        <v xml:space="preserve"> </v>
      </c>
      <c r="I8" s="138" t="str">
        <f>IF(GRAL.!U9&lt;51,GRAL.!U9," ")</f>
        <v xml:space="preserve"> </v>
      </c>
      <c r="J8" s="138" t="str">
        <f>IF(GRAL.!X9&lt;51,GRAL.!X9," ")</f>
        <v xml:space="preserve"> </v>
      </c>
      <c r="K8" s="138" t="str">
        <f>IF(GRAL.!AA9&lt;51,GRAL.!AA9," ")</f>
        <v xml:space="preserve"> </v>
      </c>
      <c r="L8" s="138" t="str">
        <f>IF(GRAL.!AD9&lt;51,GRAL.!AD9," ")</f>
        <v xml:space="preserve"> </v>
      </c>
      <c r="M8" s="138" t="str">
        <f>IF(GRAL.!AG9&lt;51,GRAL.!AG9," ")</f>
        <v xml:space="preserve"> </v>
      </c>
      <c r="N8" s="229" t="str">
        <f t="shared" si="0"/>
        <v xml:space="preserve"> </v>
      </c>
    </row>
    <row r="9" spans="1:18" ht="18.75">
      <c r="A9" s="60">
        <f>NOMINA!A11</f>
        <v>6</v>
      </c>
      <c r="B9" s="196" t="str">
        <f>NOMINA!B11</f>
        <v>BOLIVAR REVOLLO NIVARDO ADOLFO</v>
      </c>
      <c r="C9" s="138" t="str">
        <f>IF(GRAL.!C10&lt;51,GRAL.!C10," ")</f>
        <v xml:space="preserve"> </v>
      </c>
      <c r="D9" s="138" t="str">
        <f>IF(GRAL.!F10&lt;51,GRAL.!F10," ")</f>
        <v xml:space="preserve"> </v>
      </c>
      <c r="E9" s="138">
        <f>IF(GRAL.!I10&lt;51,GRAL.!I10," ")</f>
        <v>43</v>
      </c>
      <c r="F9" s="138" t="str">
        <f>IF(GRAL.!L10&lt;51,GRAL.!L10," ")</f>
        <v xml:space="preserve"> </v>
      </c>
      <c r="G9" s="138" t="str">
        <f>IF(GRAL.!O10&lt;51,GRAL.!O10," ")</f>
        <v xml:space="preserve"> </v>
      </c>
      <c r="H9" s="138" t="str">
        <f>IF(GRAL.!R10&lt;51,GRAL.!R10," ")</f>
        <v xml:space="preserve"> </v>
      </c>
      <c r="I9" s="138">
        <f>IF(GRAL.!U10&lt;51,GRAL.!U10," ")</f>
        <v>46</v>
      </c>
      <c r="J9" s="138" t="str">
        <f>IF(GRAL.!X10&lt;51,GRAL.!X10," ")</f>
        <v xml:space="preserve"> </v>
      </c>
      <c r="K9" s="138" t="str">
        <f>IF(GRAL.!AA10&lt;51,GRAL.!AA10," ")</f>
        <v xml:space="preserve"> </v>
      </c>
      <c r="L9" s="138" t="str">
        <f>IF(GRAL.!AD10&lt;51,GRAL.!AD10," ")</f>
        <v xml:space="preserve"> </v>
      </c>
      <c r="M9" s="138" t="str">
        <f>IF(GRAL.!AG10&lt;51,GRAL.!AG10," ")</f>
        <v xml:space="preserve"> </v>
      </c>
      <c r="N9" s="229">
        <f t="shared" si="0"/>
        <v>2</v>
      </c>
    </row>
    <row r="10" spans="1:18" ht="18.75">
      <c r="A10" s="60">
        <f>NOMINA!A12</f>
        <v>7</v>
      </c>
      <c r="B10" s="196" t="str">
        <f>NOMINA!B12</f>
        <v>CADIMA SOLIZ NICOLAS</v>
      </c>
      <c r="C10" s="138">
        <f>IF(GRAL.!C11&lt;51,GRAL.!C11," ")</f>
        <v>46</v>
      </c>
      <c r="D10" s="138">
        <f>IF(GRAL.!F11&lt;51,GRAL.!F11," ")</f>
        <v>47</v>
      </c>
      <c r="E10" s="138">
        <f>IF(GRAL.!I11&lt;51,GRAL.!I11," ")</f>
        <v>40</v>
      </c>
      <c r="F10" s="138" t="str">
        <f>IF(GRAL.!L11&lt;51,GRAL.!L11," ")</f>
        <v xml:space="preserve"> </v>
      </c>
      <c r="G10" s="138" t="str">
        <f>IF(GRAL.!O11&lt;51,GRAL.!O11," ")</f>
        <v xml:space="preserve"> </v>
      </c>
      <c r="H10" s="138" t="str">
        <f>IF(GRAL.!R11&lt;51,GRAL.!R11," ")</f>
        <v xml:space="preserve"> </v>
      </c>
      <c r="I10" s="138">
        <f>IF(GRAL.!U11&lt;51,GRAL.!U11," ")</f>
        <v>46</v>
      </c>
      <c r="J10" s="138" t="str">
        <f>IF(GRAL.!X11&lt;51,GRAL.!X11," ")</f>
        <v xml:space="preserve"> </v>
      </c>
      <c r="K10" s="138" t="str">
        <f>IF(GRAL.!AA11&lt;51,GRAL.!AA11," ")</f>
        <v xml:space="preserve"> </v>
      </c>
      <c r="L10" s="138" t="str">
        <f>IF(GRAL.!AD11&lt;51,GRAL.!AD11," ")</f>
        <v xml:space="preserve"> </v>
      </c>
      <c r="M10" s="138" t="str">
        <f>IF(GRAL.!AG11&lt;51,GRAL.!AG11," ")</f>
        <v xml:space="preserve"> </v>
      </c>
      <c r="N10" s="229">
        <f t="shared" si="0"/>
        <v>4</v>
      </c>
    </row>
    <row r="11" spans="1:18" ht="18.75">
      <c r="A11" s="60">
        <f>NOMINA!A13</f>
        <v>8</v>
      </c>
      <c r="B11" s="196" t="str">
        <f>NOMINA!B13</f>
        <v>CALLE PEREZ ANDREA BELEN</v>
      </c>
      <c r="C11" s="138" t="str">
        <f>IF(GRAL.!C12&lt;51,GRAL.!C12," ")</f>
        <v xml:space="preserve"> </v>
      </c>
      <c r="D11" s="138" t="str">
        <f>IF(GRAL.!F12&lt;51,GRAL.!F12," ")</f>
        <v xml:space="preserve"> </v>
      </c>
      <c r="E11" s="138" t="str">
        <f>IF(GRAL.!I12&lt;51,GRAL.!I12," ")</f>
        <v xml:space="preserve"> </v>
      </c>
      <c r="F11" s="138" t="str">
        <f>IF(GRAL.!L12&lt;51,GRAL.!L12," ")</f>
        <v xml:space="preserve"> </v>
      </c>
      <c r="G11" s="138" t="str">
        <f>IF(GRAL.!O12&lt;51,GRAL.!O12," ")</f>
        <v xml:space="preserve"> </v>
      </c>
      <c r="H11" s="138" t="str">
        <f>IF(GRAL.!R12&lt;51,GRAL.!R12," ")</f>
        <v xml:space="preserve"> </v>
      </c>
      <c r="I11" s="138" t="str">
        <f>IF(GRAL.!U12&lt;51,GRAL.!U12," ")</f>
        <v xml:space="preserve"> </v>
      </c>
      <c r="J11" s="138" t="str">
        <f>IF(GRAL.!X12&lt;51,GRAL.!X12," ")</f>
        <v xml:space="preserve"> </v>
      </c>
      <c r="K11" s="138" t="str">
        <f>IF(GRAL.!AA12&lt;51,GRAL.!AA12," ")</f>
        <v xml:space="preserve"> </v>
      </c>
      <c r="L11" s="138" t="str">
        <f>IF(GRAL.!AD12&lt;51,GRAL.!AD12," ")</f>
        <v xml:space="preserve"> </v>
      </c>
      <c r="M11" s="138" t="str">
        <f>IF(GRAL.!AG12&lt;51,GRAL.!AG12," ")</f>
        <v xml:space="preserve"> </v>
      </c>
      <c r="N11" s="229" t="str">
        <f t="shared" si="0"/>
        <v xml:space="preserve"> </v>
      </c>
    </row>
    <row r="12" spans="1:18" ht="18.75">
      <c r="A12" s="60">
        <f>NOMINA!A14</f>
        <v>9</v>
      </c>
      <c r="B12" s="196" t="str">
        <f>NOMINA!B14</f>
        <v>CHAVEZ AMURRIO SEBASTIAN FABIAN</v>
      </c>
      <c r="C12" s="138">
        <f>IF(GRAL.!C13&lt;51,GRAL.!C13," ")</f>
        <v>44</v>
      </c>
      <c r="D12" s="138">
        <f>IF(GRAL.!F13&lt;51,GRAL.!F13," ")</f>
        <v>45</v>
      </c>
      <c r="E12" s="138" t="str">
        <f>IF(GRAL.!I13&lt;51,GRAL.!I13," ")</f>
        <v xml:space="preserve"> </v>
      </c>
      <c r="F12" s="138">
        <f>IF(GRAL.!L13&lt;51,GRAL.!L13," ")</f>
        <v>45</v>
      </c>
      <c r="G12" s="138" t="str">
        <f>IF(GRAL.!O13&lt;51,GRAL.!O13," ")</f>
        <v xml:space="preserve"> </v>
      </c>
      <c r="H12" s="138" t="str">
        <f>IF(GRAL.!R13&lt;51,GRAL.!R13," ")</f>
        <v xml:space="preserve"> </v>
      </c>
      <c r="I12" s="138">
        <f>IF(GRAL.!U13&lt;51,GRAL.!U13," ")</f>
        <v>49</v>
      </c>
      <c r="J12" s="138">
        <f>IF(GRAL.!X13&lt;51,GRAL.!X13," ")</f>
        <v>44</v>
      </c>
      <c r="K12" s="138">
        <f>IF(GRAL.!AA13&lt;51,GRAL.!AA13," ")</f>
        <v>35</v>
      </c>
      <c r="L12" s="138">
        <f>IF(GRAL.!AD13&lt;51,GRAL.!AD13," ")</f>
        <v>45</v>
      </c>
      <c r="M12" s="138" t="str">
        <f>IF(GRAL.!AG13&lt;51,GRAL.!AG13," ")</f>
        <v xml:space="preserve"> </v>
      </c>
      <c r="N12" s="229">
        <f t="shared" si="0"/>
        <v>7</v>
      </c>
    </row>
    <row r="13" spans="1:18" ht="18.75">
      <c r="A13" s="60">
        <f>NOMINA!A15</f>
        <v>10</v>
      </c>
      <c r="B13" s="196" t="str">
        <f>NOMINA!B15</f>
        <v>CHOQUE ARISPE YURIANA LUCIA</v>
      </c>
      <c r="C13" s="138" t="str">
        <f>IF(GRAL.!C14&lt;51,GRAL.!C14," ")</f>
        <v xml:space="preserve"> </v>
      </c>
      <c r="D13" s="138" t="str">
        <f>IF(GRAL.!F14&lt;51,GRAL.!F14," ")</f>
        <v xml:space="preserve"> </v>
      </c>
      <c r="E13" s="138">
        <f>IF(GRAL.!I14&lt;51,GRAL.!I14," ")</f>
        <v>44</v>
      </c>
      <c r="F13" s="138" t="str">
        <f>IF(GRAL.!L14&lt;51,GRAL.!L14," ")</f>
        <v xml:space="preserve"> </v>
      </c>
      <c r="G13" s="138" t="str">
        <f>IF(GRAL.!O14&lt;51,GRAL.!O14," ")</f>
        <v xml:space="preserve"> </v>
      </c>
      <c r="H13" s="138" t="str">
        <f>IF(GRAL.!R14&lt;51,GRAL.!R14," ")</f>
        <v xml:space="preserve"> </v>
      </c>
      <c r="I13" s="138" t="str">
        <f>IF(GRAL.!U14&lt;51,GRAL.!U14," ")</f>
        <v xml:space="preserve"> </v>
      </c>
      <c r="J13" s="138" t="str">
        <f>IF(GRAL.!X14&lt;51,GRAL.!X14," ")</f>
        <v xml:space="preserve"> </v>
      </c>
      <c r="K13" s="138" t="str">
        <f>IF(GRAL.!AA14&lt;51,GRAL.!AA14," ")</f>
        <v xml:space="preserve"> </v>
      </c>
      <c r="L13" s="138" t="str">
        <f>IF(GRAL.!AD14&lt;51,GRAL.!AD14," ")</f>
        <v xml:space="preserve"> </v>
      </c>
      <c r="M13" s="138" t="str">
        <f>IF(GRAL.!AG14&lt;51,GRAL.!AG14," ")</f>
        <v xml:space="preserve"> </v>
      </c>
      <c r="N13" s="229">
        <f t="shared" si="0"/>
        <v>1</v>
      </c>
    </row>
    <row r="14" spans="1:18" ht="18.75">
      <c r="A14" s="60">
        <f>NOMINA!A16</f>
        <v>11</v>
      </c>
      <c r="B14" s="196" t="str">
        <f>NOMINA!B16</f>
        <v>CHOQUE PERALTA JHOEL ELIAZAR</v>
      </c>
      <c r="C14" s="138" t="str">
        <f>IF(GRAL.!C15&lt;51,GRAL.!C15," ")</f>
        <v xml:space="preserve"> </v>
      </c>
      <c r="D14" s="138" t="str">
        <f>IF(GRAL.!F15&lt;51,GRAL.!F15," ")</f>
        <v xml:space="preserve"> </v>
      </c>
      <c r="E14" s="138" t="str">
        <f>IF(GRAL.!I15&lt;51,GRAL.!I15," ")</f>
        <v xml:space="preserve"> </v>
      </c>
      <c r="F14" s="138" t="str">
        <f>IF(GRAL.!L15&lt;51,GRAL.!L15," ")</f>
        <v xml:space="preserve"> </v>
      </c>
      <c r="G14" s="138" t="str">
        <f>IF(GRAL.!O15&lt;51,GRAL.!O15," ")</f>
        <v xml:space="preserve"> </v>
      </c>
      <c r="H14" s="138" t="str">
        <f>IF(GRAL.!R15&lt;51,GRAL.!R15," ")</f>
        <v xml:space="preserve"> </v>
      </c>
      <c r="I14" s="138" t="str">
        <f>IF(GRAL.!U15&lt;51,GRAL.!U15," ")</f>
        <v xml:space="preserve"> </v>
      </c>
      <c r="J14" s="138" t="str">
        <f>IF(GRAL.!X15&lt;51,GRAL.!X15," ")</f>
        <v xml:space="preserve"> </v>
      </c>
      <c r="K14" s="138" t="str">
        <f>IF(GRAL.!AA15&lt;51,GRAL.!AA15," ")</f>
        <v xml:space="preserve"> </v>
      </c>
      <c r="L14" s="138" t="str">
        <f>IF(GRAL.!AD15&lt;51,GRAL.!AD15," ")</f>
        <v xml:space="preserve"> </v>
      </c>
      <c r="M14" s="138" t="str">
        <f>IF(GRAL.!AG15&lt;51,GRAL.!AG15," ")</f>
        <v xml:space="preserve"> </v>
      </c>
      <c r="N14" s="229" t="str">
        <f t="shared" si="0"/>
        <v xml:space="preserve"> </v>
      </c>
    </row>
    <row r="15" spans="1:18" ht="18" customHeight="1">
      <c r="A15" s="60">
        <f>NOMINA!A17</f>
        <v>12</v>
      </c>
      <c r="B15" s="196" t="str">
        <f>NOMINA!B17</f>
        <v>COPA RIVERO MARCIA MARCELA</v>
      </c>
      <c r="C15" s="138">
        <f>IF(GRAL.!C16&lt;51,GRAL.!C16," ")</f>
        <v>43</v>
      </c>
      <c r="D15" s="138" t="str">
        <f>IF(GRAL.!F16&lt;51,GRAL.!F16," ")</f>
        <v xml:space="preserve"> </v>
      </c>
      <c r="E15" s="138" t="str">
        <f>IF(GRAL.!I16&lt;51,GRAL.!I16," ")</f>
        <v xml:space="preserve"> </v>
      </c>
      <c r="F15" s="138" t="str">
        <f>IF(GRAL.!L16&lt;51,GRAL.!L16," ")</f>
        <v xml:space="preserve"> </v>
      </c>
      <c r="G15" s="138" t="str">
        <f>IF(GRAL.!O16&lt;51,GRAL.!O16," ")</f>
        <v xml:space="preserve"> </v>
      </c>
      <c r="H15" s="138" t="str">
        <f>IF(GRAL.!R16&lt;51,GRAL.!R16," ")</f>
        <v xml:space="preserve"> </v>
      </c>
      <c r="I15" s="138" t="str">
        <f>IF(GRAL.!U16&lt;51,GRAL.!U16," ")</f>
        <v xml:space="preserve"> </v>
      </c>
      <c r="J15" s="138" t="str">
        <f>IF(GRAL.!X16&lt;51,GRAL.!X16," ")</f>
        <v xml:space="preserve"> </v>
      </c>
      <c r="K15" s="138" t="str">
        <f>IF(GRAL.!AA16&lt;51,GRAL.!AA16," ")</f>
        <v xml:space="preserve"> </v>
      </c>
      <c r="L15" s="138" t="str">
        <f>IF(GRAL.!AD16&lt;51,GRAL.!AD16," ")</f>
        <v xml:space="preserve"> </v>
      </c>
      <c r="M15" s="138" t="str">
        <f>IF(GRAL.!AG16&lt;51,GRAL.!AG16," ")</f>
        <v xml:space="preserve"> </v>
      </c>
      <c r="N15" s="229">
        <f t="shared" si="0"/>
        <v>1</v>
      </c>
    </row>
    <row r="16" spans="1:18" ht="18.75">
      <c r="A16" s="60">
        <f>NOMINA!A18</f>
        <v>13</v>
      </c>
      <c r="B16" s="196" t="str">
        <f>NOMINA!B18</f>
        <v>CORIA URUÑO CHRISTOPER GABRIEL</v>
      </c>
      <c r="C16" s="138" t="str">
        <f>IF(GRAL.!C17&lt;51,GRAL.!C17," ")</f>
        <v xml:space="preserve"> </v>
      </c>
      <c r="D16" s="138" t="str">
        <f>IF(GRAL.!F17&lt;51,GRAL.!F17," ")</f>
        <v xml:space="preserve"> </v>
      </c>
      <c r="E16" s="138" t="str">
        <f>IF(GRAL.!I17&lt;51,GRAL.!I17," ")</f>
        <v xml:space="preserve"> </v>
      </c>
      <c r="F16" s="138" t="str">
        <f>IF(GRAL.!L17&lt;51,GRAL.!L17," ")</f>
        <v xml:space="preserve"> </v>
      </c>
      <c r="G16" s="138" t="str">
        <f>IF(GRAL.!O17&lt;51,GRAL.!O17," ")</f>
        <v xml:space="preserve"> </v>
      </c>
      <c r="H16" s="138" t="str">
        <f>IF(GRAL.!R17&lt;51,GRAL.!R17," ")</f>
        <v xml:space="preserve"> </v>
      </c>
      <c r="I16" s="138" t="str">
        <f>IF(GRAL.!U17&lt;51,GRAL.!U17," ")</f>
        <v xml:space="preserve"> </v>
      </c>
      <c r="J16" s="138" t="str">
        <f>IF(GRAL.!X17&lt;51,GRAL.!X17," ")</f>
        <v xml:space="preserve"> </v>
      </c>
      <c r="K16" s="138" t="str">
        <f>IF(GRAL.!AA17&lt;51,GRAL.!AA17," ")</f>
        <v xml:space="preserve"> </v>
      </c>
      <c r="L16" s="138" t="str">
        <f>IF(GRAL.!AD17&lt;51,GRAL.!AD17," ")</f>
        <v xml:space="preserve"> </v>
      </c>
      <c r="M16" s="138" t="str">
        <f>IF(GRAL.!AG17&lt;51,GRAL.!AG17," ")</f>
        <v xml:space="preserve"> </v>
      </c>
      <c r="N16" s="229" t="str">
        <f t="shared" si="0"/>
        <v xml:space="preserve"> </v>
      </c>
    </row>
    <row r="17" spans="1:14" ht="18.75">
      <c r="A17" s="60">
        <f>NOMINA!A19</f>
        <v>14</v>
      </c>
      <c r="B17" s="196" t="str">
        <f>NOMINA!B19</f>
        <v>FLORES BALLESTEROS LEANDRO FRANK</v>
      </c>
      <c r="C17" s="138" t="str">
        <f>IF(GRAL.!C18&lt;51,GRAL.!C18," ")</f>
        <v xml:space="preserve"> </v>
      </c>
      <c r="D17" s="138" t="str">
        <f>IF(GRAL.!F18&lt;51,GRAL.!F18," ")</f>
        <v xml:space="preserve"> </v>
      </c>
      <c r="E17" s="138" t="str">
        <f>IF(GRAL.!I18&lt;51,GRAL.!I18," ")</f>
        <v xml:space="preserve"> </v>
      </c>
      <c r="F17" s="138" t="str">
        <f>IF(GRAL.!L18&lt;51,GRAL.!L18," ")</f>
        <v xml:space="preserve"> </v>
      </c>
      <c r="G17" s="138" t="str">
        <f>IF(GRAL.!O18&lt;51,GRAL.!O18," ")</f>
        <v xml:space="preserve"> </v>
      </c>
      <c r="H17" s="138" t="str">
        <f>IF(GRAL.!R18&lt;51,GRAL.!R18," ")</f>
        <v xml:space="preserve"> </v>
      </c>
      <c r="I17" s="138" t="str">
        <f>IF(GRAL.!U18&lt;51,GRAL.!U18," ")</f>
        <v xml:space="preserve"> </v>
      </c>
      <c r="J17" s="138" t="str">
        <f>IF(GRAL.!X18&lt;51,GRAL.!X18," ")</f>
        <v xml:space="preserve"> </v>
      </c>
      <c r="K17" s="138" t="str">
        <f>IF(GRAL.!AA18&lt;51,GRAL.!AA18," ")</f>
        <v xml:space="preserve"> </v>
      </c>
      <c r="L17" s="138" t="str">
        <f>IF(GRAL.!AD18&lt;51,GRAL.!AD18," ")</f>
        <v xml:space="preserve"> </v>
      </c>
      <c r="M17" s="138" t="str">
        <f>IF(GRAL.!AG18&lt;51,GRAL.!AG18," ")</f>
        <v xml:space="preserve"> </v>
      </c>
      <c r="N17" s="229" t="str">
        <f t="shared" si="0"/>
        <v xml:space="preserve"> </v>
      </c>
    </row>
    <row r="18" spans="1:14" ht="18.75">
      <c r="A18" s="60">
        <f>NOMINA!A20</f>
        <v>15</v>
      </c>
      <c r="B18" s="196" t="str">
        <f>NOMINA!B20</f>
        <v>GONZALES MOLINA ARIANET BELEN</v>
      </c>
      <c r="C18" s="138" t="str">
        <f>IF(GRAL.!C19&lt;51,GRAL.!C19," ")</f>
        <v xml:space="preserve"> </v>
      </c>
      <c r="D18" s="138" t="str">
        <f>IF(GRAL.!F19&lt;51,GRAL.!F19," ")</f>
        <v xml:space="preserve"> </v>
      </c>
      <c r="E18" s="138" t="str">
        <f>IF(GRAL.!I19&lt;51,GRAL.!I19," ")</f>
        <v xml:space="preserve"> </v>
      </c>
      <c r="F18" s="138" t="str">
        <f>IF(GRAL.!L19&lt;51,GRAL.!L19," ")</f>
        <v xml:space="preserve"> </v>
      </c>
      <c r="G18" s="138" t="str">
        <f>IF(GRAL.!O19&lt;51,GRAL.!O19," ")</f>
        <v xml:space="preserve"> </v>
      </c>
      <c r="H18" s="138" t="str">
        <f>IF(GRAL.!R19&lt;51,GRAL.!R19," ")</f>
        <v xml:space="preserve"> </v>
      </c>
      <c r="I18" s="138" t="str">
        <f>IF(GRAL.!U19&lt;51,GRAL.!U19," ")</f>
        <v xml:space="preserve"> </v>
      </c>
      <c r="J18" s="138" t="str">
        <f>IF(GRAL.!X19&lt;51,GRAL.!X19," ")</f>
        <v xml:space="preserve"> </v>
      </c>
      <c r="K18" s="138" t="str">
        <f>IF(GRAL.!AA19&lt;51,GRAL.!AA19," ")</f>
        <v xml:space="preserve"> </v>
      </c>
      <c r="L18" s="138" t="str">
        <f>IF(GRAL.!AD19&lt;51,GRAL.!AD19," ")</f>
        <v xml:space="preserve"> </v>
      </c>
      <c r="M18" s="138" t="str">
        <f>IF(GRAL.!AG19&lt;51,GRAL.!AG19," ")</f>
        <v xml:space="preserve"> </v>
      </c>
      <c r="N18" s="229" t="str">
        <f t="shared" si="0"/>
        <v xml:space="preserve"> </v>
      </c>
    </row>
    <row r="19" spans="1:14" ht="18.75">
      <c r="A19" s="60">
        <f>NOMINA!A21</f>
        <v>16</v>
      </c>
      <c r="B19" s="196" t="str">
        <f>NOMINA!B21</f>
        <v>GUAQUIPA BECERRA NICOLAS ALEX</v>
      </c>
      <c r="C19" s="138" t="str">
        <f>IF(GRAL.!C20&lt;51,GRAL.!C20," ")</f>
        <v xml:space="preserve"> </v>
      </c>
      <c r="D19" s="138" t="str">
        <f>IF(GRAL.!F20&lt;51,GRAL.!F20," ")</f>
        <v xml:space="preserve"> </v>
      </c>
      <c r="E19" s="138" t="str">
        <f>IF(GRAL.!I20&lt;51,GRAL.!I20," ")</f>
        <v xml:space="preserve"> </v>
      </c>
      <c r="F19" s="138" t="str">
        <f>IF(GRAL.!L20&lt;51,GRAL.!L20," ")</f>
        <v xml:space="preserve"> </v>
      </c>
      <c r="G19" s="138" t="str">
        <f>IF(GRAL.!O20&lt;51,GRAL.!O20," ")</f>
        <v xml:space="preserve"> </v>
      </c>
      <c r="H19" s="138" t="str">
        <f>IF(GRAL.!R20&lt;51,GRAL.!R20," ")</f>
        <v xml:space="preserve"> </v>
      </c>
      <c r="I19" s="138" t="str">
        <f>IF(GRAL.!U20&lt;51,GRAL.!U20," ")</f>
        <v xml:space="preserve"> </v>
      </c>
      <c r="J19" s="138" t="str">
        <f>IF(GRAL.!X20&lt;51,GRAL.!X20," ")</f>
        <v xml:space="preserve"> </v>
      </c>
      <c r="K19" s="138" t="str">
        <f>IF(GRAL.!AA20&lt;51,GRAL.!AA20," ")</f>
        <v xml:space="preserve"> </v>
      </c>
      <c r="L19" s="138" t="str">
        <f>IF(GRAL.!AD20&lt;51,GRAL.!AD20," ")</f>
        <v xml:space="preserve"> </v>
      </c>
      <c r="M19" s="138" t="str">
        <f>IF(GRAL.!AG20&lt;51,GRAL.!AG20," ")</f>
        <v xml:space="preserve"> </v>
      </c>
      <c r="N19" s="229" t="str">
        <f t="shared" si="0"/>
        <v xml:space="preserve"> </v>
      </c>
    </row>
    <row r="20" spans="1:14" ht="18.75">
      <c r="A20" s="60">
        <f>NOMINA!A22</f>
        <v>17</v>
      </c>
      <c r="B20" s="196" t="str">
        <f>NOMINA!B22</f>
        <v>HUANQUIRI MAMANI JHOSMAR</v>
      </c>
      <c r="C20" s="138">
        <f>IF(GRAL.!C21&lt;51,GRAL.!C21," ")</f>
        <v>43</v>
      </c>
      <c r="D20" s="138">
        <f>IF(GRAL.!F21&lt;51,GRAL.!F21," ")</f>
        <v>41</v>
      </c>
      <c r="E20" s="138">
        <f>IF(GRAL.!I21&lt;51,GRAL.!I21," ")</f>
        <v>35</v>
      </c>
      <c r="F20" s="138" t="str">
        <f>IF(GRAL.!L21&lt;51,GRAL.!L21," ")</f>
        <v xml:space="preserve"> </v>
      </c>
      <c r="G20" s="138" t="str">
        <f>IF(GRAL.!O21&lt;51,GRAL.!O21," ")</f>
        <v xml:space="preserve"> </v>
      </c>
      <c r="H20" s="138" t="str">
        <f>IF(GRAL.!R21&lt;51,GRAL.!R21," ")</f>
        <v xml:space="preserve"> </v>
      </c>
      <c r="I20" s="138" t="str">
        <f>IF(GRAL.!U21&lt;51,GRAL.!U21," ")</f>
        <v xml:space="preserve"> </v>
      </c>
      <c r="J20" s="138">
        <f>IF(GRAL.!X21&lt;51,GRAL.!X21," ")</f>
        <v>47</v>
      </c>
      <c r="K20" s="138">
        <f>IF(GRAL.!AA21&lt;51,GRAL.!AA21," ")</f>
        <v>35</v>
      </c>
      <c r="L20" s="138">
        <f>IF(GRAL.!AD21&lt;51,GRAL.!AD21," ")</f>
        <v>49</v>
      </c>
      <c r="M20" s="138" t="str">
        <f>IF(GRAL.!AG21&lt;51,GRAL.!AG21," ")</f>
        <v xml:space="preserve"> </v>
      </c>
      <c r="N20" s="229">
        <f t="shared" si="0"/>
        <v>6</v>
      </c>
    </row>
    <row r="21" spans="1:14" ht="18.75">
      <c r="A21" s="60">
        <f>NOMINA!A23</f>
        <v>18</v>
      </c>
      <c r="B21" s="196" t="str">
        <f>NOMINA!B23</f>
        <v>JOVE ARNEZ ANDREA LUCIANA</v>
      </c>
      <c r="C21" s="138" t="str">
        <f>IF(GRAL.!C22&lt;51,GRAL.!C22," ")</f>
        <v xml:space="preserve"> </v>
      </c>
      <c r="D21" s="138">
        <f>IF(GRAL.!F22&lt;51,GRAL.!F22," ")</f>
        <v>41</v>
      </c>
      <c r="E21" s="138" t="str">
        <f>IF(GRAL.!I22&lt;51,GRAL.!I22," ")</f>
        <v xml:space="preserve"> </v>
      </c>
      <c r="F21" s="138">
        <f>IF(GRAL.!L22&lt;51,GRAL.!L22," ")</f>
        <v>38</v>
      </c>
      <c r="G21" s="138">
        <f>IF(GRAL.!O22&lt;51,GRAL.!O22," ")</f>
        <v>40</v>
      </c>
      <c r="H21" s="138" t="str">
        <f>IF(GRAL.!R22&lt;51,GRAL.!R22," ")</f>
        <v xml:space="preserve"> </v>
      </c>
      <c r="I21" s="138" t="str">
        <f>IF(GRAL.!U22&lt;51,GRAL.!U22," ")</f>
        <v xml:space="preserve"> </v>
      </c>
      <c r="J21" s="138" t="str">
        <f>IF(GRAL.!X22&lt;51,GRAL.!X22," ")</f>
        <v xml:space="preserve"> </v>
      </c>
      <c r="K21" s="138" t="str">
        <f>IF(GRAL.!AA22&lt;51,GRAL.!AA22," ")</f>
        <v xml:space="preserve"> </v>
      </c>
      <c r="L21" s="138" t="str">
        <f>IF(GRAL.!AD22&lt;51,GRAL.!AD22," ")</f>
        <v xml:space="preserve"> </v>
      </c>
      <c r="M21" s="138" t="str">
        <f>IF(GRAL.!AG22&lt;51,GRAL.!AG22," ")</f>
        <v xml:space="preserve"> </v>
      </c>
      <c r="N21" s="229">
        <f t="shared" si="0"/>
        <v>3</v>
      </c>
    </row>
    <row r="22" spans="1:14" ht="18.75">
      <c r="A22" s="60">
        <f>NOMINA!A24</f>
        <v>19</v>
      </c>
      <c r="B22" s="196" t="str">
        <f>NOMINA!B24</f>
        <v>LAFUENTE ORTUÑO VICTORIA VALENTINA</v>
      </c>
      <c r="C22" s="138">
        <f>IF(GRAL.!C23&lt;51,GRAL.!C23," ")</f>
        <v>41</v>
      </c>
      <c r="D22" s="138" t="str">
        <f>IF(GRAL.!F23&lt;51,GRAL.!F23," ")</f>
        <v xml:space="preserve"> </v>
      </c>
      <c r="E22" s="138">
        <f>IF(GRAL.!I23&lt;51,GRAL.!I23," ")</f>
        <v>35</v>
      </c>
      <c r="F22" s="138" t="str">
        <f>IF(GRAL.!L23&lt;51,GRAL.!L23," ")</f>
        <v xml:space="preserve"> </v>
      </c>
      <c r="G22" s="138">
        <f>IF(GRAL.!O23&lt;51,GRAL.!O23," ")</f>
        <v>45</v>
      </c>
      <c r="H22" s="138" t="str">
        <f>IF(GRAL.!R23&lt;51,GRAL.!R23," ")</f>
        <v xml:space="preserve"> </v>
      </c>
      <c r="I22" s="138">
        <f>IF(GRAL.!U23&lt;51,GRAL.!U23," ")</f>
        <v>46</v>
      </c>
      <c r="J22" s="138" t="str">
        <f>IF(GRAL.!X23&lt;51,GRAL.!X23," ")</f>
        <v xml:space="preserve"> </v>
      </c>
      <c r="K22" s="138" t="str">
        <f>IF(GRAL.!AA23&lt;51,GRAL.!AA23," ")</f>
        <v xml:space="preserve"> </v>
      </c>
      <c r="L22" s="138" t="str">
        <f>IF(GRAL.!AD23&lt;51,GRAL.!AD23," ")</f>
        <v xml:space="preserve"> </v>
      </c>
      <c r="M22" s="138" t="str">
        <f>IF(GRAL.!AG23&lt;51,GRAL.!AG23," ")</f>
        <v xml:space="preserve"> </v>
      </c>
      <c r="N22" s="229">
        <f t="shared" si="0"/>
        <v>4</v>
      </c>
    </row>
    <row r="23" spans="1:14" ht="18.75">
      <c r="A23" s="60">
        <f>NOMINA!A25</f>
        <v>20</v>
      </c>
      <c r="B23" s="196" t="str">
        <f>NOMINA!B25</f>
        <v>MAGNANI CANAVIRI JOSUE JHONATHAN</v>
      </c>
      <c r="C23" s="138" t="str">
        <f>IF(GRAL.!C24&lt;51,GRAL.!C24," ")</f>
        <v xml:space="preserve"> </v>
      </c>
      <c r="D23" s="138" t="str">
        <f>IF(GRAL.!F24&lt;51,GRAL.!F24," ")</f>
        <v xml:space="preserve"> </v>
      </c>
      <c r="E23" s="138">
        <f>IF(GRAL.!I24&lt;51,GRAL.!I24," ")</f>
        <v>40</v>
      </c>
      <c r="F23" s="138" t="str">
        <f>IF(GRAL.!L24&lt;51,GRAL.!L24," ")</f>
        <v xml:space="preserve"> </v>
      </c>
      <c r="G23" s="138" t="str">
        <f>IF(GRAL.!O24&lt;51,GRAL.!O24," ")</f>
        <v xml:space="preserve"> </v>
      </c>
      <c r="H23" s="138" t="str">
        <f>IF(GRAL.!R24&lt;51,GRAL.!R24," ")</f>
        <v xml:space="preserve"> </v>
      </c>
      <c r="I23" s="138" t="str">
        <f>IF(GRAL.!U24&lt;51,GRAL.!U24," ")</f>
        <v xml:space="preserve"> </v>
      </c>
      <c r="J23" s="138" t="str">
        <f>IF(GRAL.!X24&lt;51,GRAL.!X24," ")</f>
        <v xml:space="preserve"> </v>
      </c>
      <c r="K23" s="138" t="str">
        <f>IF(GRAL.!AA24&lt;51,GRAL.!AA24," ")</f>
        <v xml:space="preserve"> </v>
      </c>
      <c r="L23" s="138" t="str">
        <f>IF(GRAL.!AD24&lt;51,GRAL.!AD24," ")</f>
        <v xml:space="preserve"> </v>
      </c>
      <c r="M23" s="138" t="str">
        <f>IF(GRAL.!AG24&lt;51,GRAL.!AG24," ")</f>
        <v xml:space="preserve"> </v>
      </c>
      <c r="N23" s="229">
        <f t="shared" si="0"/>
        <v>1</v>
      </c>
    </row>
    <row r="24" spans="1:14" ht="18.75">
      <c r="A24" s="60">
        <f>NOMINA!A26</f>
        <v>21</v>
      </c>
      <c r="B24" s="196" t="str">
        <f>NOMINA!B26</f>
        <v>MERUVIA GUTIERREZ ASHLY SCARLETT</v>
      </c>
      <c r="C24" s="138" t="str">
        <f>IF(GRAL.!C25&lt;51,GRAL.!C25," ")</f>
        <v xml:space="preserve"> </v>
      </c>
      <c r="D24" s="138" t="str">
        <f>IF(GRAL.!F25&lt;51,GRAL.!F25," ")</f>
        <v xml:space="preserve"> </v>
      </c>
      <c r="E24" s="138" t="str">
        <f>IF(GRAL.!I25&lt;51,GRAL.!I25," ")</f>
        <v xml:space="preserve"> </v>
      </c>
      <c r="F24" s="138" t="str">
        <f>IF(GRAL.!L25&lt;51,GRAL.!L25," ")</f>
        <v xml:space="preserve"> </v>
      </c>
      <c r="G24" s="138" t="str">
        <f>IF(GRAL.!O25&lt;51,GRAL.!O25," ")</f>
        <v xml:space="preserve"> </v>
      </c>
      <c r="H24" s="138" t="str">
        <f>IF(GRAL.!R25&lt;51,GRAL.!R25," ")</f>
        <v xml:space="preserve"> </v>
      </c>
      <c r="I24" s="138" t="str">
        <f>IF(GRAL.!U25&lt;51,GRAL.!U25," ")</f>
        <v xml:space="preserve"> </v>
      </c>
      <c r="J24" s="138" t="str">
        <f>IF(GRAL.!X25&lt;51,GRAL.!X25," ")</f>
        <v xml:space="preserve"> </v>
      </c>
      <c r="K24" s="138" t="str">
        <f>IF(GRAL.!AA25&lt;51,GRAL.!AA25," ")</f>
        <v xml:space="preserve"> </v>
      </c>
      <c r="L24" s="138" t="str">
        <f>IF(GRAL.!AD25&lt;51,GRAL.!AD25," ")</f>
        <v xml:space="preserve"> </v>
      </c>
      <c r="M24" s="138" t="str">
        <f>IF(GRAL.!AG25&lt;51,GRAL.!AG25," ")</f>
        <v xml:space="preserve"> </v>
      </c>
      <c r="N24" s="229" t="str">
        <f t="shared" si="0"/>
        <v xml:space="preserve"> </v>
      </c>
    </row>
    <row r="25" spans="1:14" ht="18.75">
      <c r="A25" s="60">
        <f>NOMINA!A27</f>
        <v>22</v>
      </c>
      <c r="B25" s="196" t="str">
        <f>NOMINA!B27</f>
        <v>MONTAÑO QUILO BENJAMIN GONZALO</v>
      </c>
      <c r="C25" s="138">
        <f>IF(GRAL.!C26&lt;51,GRAL.!C26," ")</f>
        <v>44</v>
      </c>
      <c r="D25" s="138">
        <f>IF(GRAL.!F26&lt;51,GRAL.!F26," ")</f>
        <v>48</v>
      </c>
      <c r="E25" s="138">
        <f>IF(GRAL.!I26&lt;51,GRAL.!I26," ")</f>
        <v>40</v>
      </c>
      <c r="F25" s="138" t="str">
        <f>IF(GRAL.!L26&lt;51,GRAL.!L26," ")</f>
        <v xml:space="preserve"> </v>
      </c>
      <c r="G25" s="138">
        <f>IF(GRAL.!O26&lt;51,GRAL.!O26," ")</f>
        <v>45</v>
      </c>
      <c r="H25" s="138" t="str">
        <f>IF(GRAL.!R26&lt;51,GRAL.!R26," ")</f>
        <v xml:space="preserve"> </v>
      </c>
      <c r="I25" s="138">
        <f>IF(GRAL.!U26&lt;51,GRAL.!U26," ")</f>
        <v>48</v>
      </c>
      <c r="J25" s="138" t="str">
        <f>IF(GRAL.!X26&lt;51,GRAL.!X26," ")</f>
        <v xml:space="preserve"> </v>
      </c>
      <c r="K25" s="138" t="str">
        <f>IF(GRAL.!AA26&lt;51,GRAL.!AA26," ")</f>
        <v xml:space="preserve"> </v>
      </c>
      <c r="L25" s="138">
        <f>IF(GRAL.!AD26&lt;51,GRAL.!AD26," ")</f>
        <v>41</v>
      </c>
      <c r="M25" s="138" t="str">
        <f>IF(GRAL.!AG26&lt;51,GRAL.!AG26," ")</f>
        <v xml:space="preserve"> </v>
      </c>
      <c r="N25" s="229">
        <f t="shared" si="0"/>
        <v>6</v>
      </c>
    </row>
    <row r="26" spans="1:14" ht="18.75">
      <c r="A26" s="60">
        <f>NOMINA!A28</f>
        <v>23</v>
      </c>
      <c r="B26" s="196" t="str">
        <f>NOMINA!B28</f>
        <v>PANIAGUA VARGAS KEYLA</v>
      </c>
      <c r="C26" s="138" t="str">
        <f>IF(GRAL.!C27&lt;51,GRAL.!C27," ")</f>
        <v xml:space="preserve"> </v>
      </c>
      <c r="D26" s="138" t="str">
        <f>IF(GRAL.!F27&lt;51,GRAL.!F27," ")</f>
        <v xml:space="preserve"> </v>
      </c>
      <c r="E26" s="138" t="str">
        <f>IF(GRAL.!I27&lt;51,GRAL.!I27," ")</f>
        <v xml:space="preserve"> </v>
      </c>
      <c r="F26" s="138" t="str">
        <f>IF(GRAL.!L27&lt;51,GRAL.!L27," ")</f>
        <v xml:space="preserve"> </v>
      </c>
      <c r="G26" s="138" t="str">
        <f>IF(GRAL.!O27&lt;51,GRAL.!O27," ")</f>
        <v xml:space="preserve"> </v>
      </c>
      <c r="H26" s="138" t="str">
        <f>IF(GRAL.!R27&lt;51,GRAL.!R27," ")</f>
        <v xml:space="preserve"> </v>
      </c>
      <c r="I26" s="138" t="str">
        <f>IF(GRAL.!U27&lt;51,GRAL.!U27," ")</f>
        <v xml:space="preserve"> </v>
      </c>
      <c r="J26" s="138" t="str">
        <f>IF(GRAL.!X27&lt;51,GRAL.!X27," ")</f>
        <v xml:space="preserve"> </v>
      </c>
      <c r="K26" s="138" t="str">
        <f>IF(GRAL.!AA27&lt;51,GRAL.!AA27," ")</f>
        <v xml:space="preserve"> </v>
      </c>
      <c r="L26" s="138" t="str">
        <f>IF(GRAL.!AD27&lt;51,GRAL.!AD27," ")</f>
        <v xml:space="preserve"> </v>
      </c>
      <c r="M26" s="138" t="str">
        <f>IF(GRAL.!AG27&lt;51,GRAL.!AG27," ")</f>
        <v xml:space="preserve"> </v>
      </c>
      <c r="N26" s="229" t="str">
        <f t="shared" si="0"/>
        <v xml:space="preserve"> </v>
      </c>
    </row>
    <row r="27" spans="1:14" ht="18.75">
      <c r="A27" s="60">
        <f>NOMINA!A29</f>
        <v>24</v>
      </c>
      <c r="B27" s="196" t="str">
        <f>NOMINA!B29</f>
        <v>PATZI GUARACHI MARIA BELEN</v>
      </c>
      <c r="C27" s="138" t="str">
        <f>IF(GRAL.!C28&lt;51,GRAL.!C28," ")</f>
        <v xml:space="preserve"> </v>
      </c>
      <c r="D27" s="138" t="str">
        <f>IF(GRAL.!F28&lt;51,GRAL.!F28," ")</f>
        <v xml:space="preserve"> </v>
      </c>
      <c r="E27" s="138" t="str">
        <f>IF(GRAL.!I28&lt;51,GRAL.!I28," ")</f>
        <v xml:space="preserve"> </v>
      </c>
      <c r="F27" s="138" t="str">
        <f>IF(GRAL.!L28&lt;51,GRAL.!L28," ")</f>
        <v xml:space="preserve"> </v>
      </c>
      <c r="G27" s="138" t="str">
        <f>IF(GRAL.!O28&lt;51,GRAL.!O28," ")</f>
        <v xml:space="preserve"> </v>
      </c>
      <c r="H27" s="138" t="str">
        <f>IF(GRAL.!R28&lt;51,GRAL.!R28," ")</f>
        <v xml:space="preserve"> </v>
      </c>
      <c r="I27" s="138" t="str">
        <f>IF(GRAL.!U28&lt;51,GRAL.!U28," ")</f>
        <v xml:space="preserve"> </v>
      </c>
      <c r="J27" s="138" t="str">
        <f>IF(GRAL.!X28&lt;51,GRAL.!X28," ")</f>
        <v xml:space="preserve"> </v>
      </c>
      <c r="K27" s="138" t="str">
        <f>IF(GRAL.!AA28&lt;51,GRAL.!AA28," ")</f>
        <v xml:space="preserve"> </v>
      </c>
      <c r="L27" s="138" t="str">
        <f>IF(GRAL.!AD28&lt;51,GRAL.!AD28," ")</f>
        <v xml:space="preserve"> </v>
      </c>
      <c r="M27" s="138" t="str">
        <f>IF(GRAL.!AG28&lt;51,GRAL.!AG28," ")</f>
        <v xml:space="preserve"> </v>
      </c>
      <c r="N27" s="229" t="str">
        <f t="shared" si="0"/>
        <v xml:space="preserve"> </v>
      </c>
    </row>
    <row r="28" spans="1:14" ht="18.75">
      <c r="A28" s="60">
        <f>NOMINA!A30</f>
        <v>25</v>
      </c>
      <c r="B28" s="196" t="str">
        <f>NOMINA!B30</f>
        <v>QUENALLATA CESPEDES LUMAIDA YANISS</v>
      </c>
      <c r="C28" s="138">
        <f>IF(GRAL.!C29&lt;51,GRAL.!C29," ")</f>
        <v>43</v>
      </c>
      <c r="D28" s="138">
        <f>IF(GRAL.!F29&lt;51,GRAL.!F29," ")</f>
        <v>46</v>
      </c>
      <c r="E28" s="138">
        <f>IF(GRAL.!I29&lt;51,GRAL.!I29," ")</f>
        <v>40</v>
      </c>
      <c r="F28" s="138" t="str">
        <f>IF(GRAL.!L29&lt;51,GRAL.!L29," ")</f>
        <v xml:space="preserve"> </v>
      </c>
      <c r="G28" s="138" t="str">
        <f>IF(GRAL.!O29&lt;51,GRAL.!O29," ")</f>
        <v xml:space="preserve"> </v>
      </c>
      <c r="H28" s="138" t="str">
        <f>IF(GRAL.!R29&lt;51,GRAL.!R29," ")</f>
        <v xml:space="preserve"> </v>
      </c>
      <c r="I28" s="138" t="str">
        <f>IF(GRAL.!U29&lt;51,GRAL.!U29," ")</f>
        <v xml:space="preserve"> </v>
      </c>
      <c r="J28" s="138" t="str">
        <f>IF(GRAL.!X29&lt;51,GRAL.!X29," ")</f>
        <v xml:space="preserve"> </v>
      </c>
      <c r="K28" s="138" t="str">
        <f>IF(GRAL.!AA29&lt;51,GRAL.!AA29," ")</f>
        <v xml:space="preserve"> </v>
      </c>
      <c r="L28" s="138">
        <f>IF(GRAL.!AD29&lt;51,GRAL.!AD29," ")</f>
        <v>38</v>
      </c>
      <c r="M28" s="138" t="str">
        <f>IF(GRAL.!AG29&lt;51,GRAL.!AG29," ")</f>
        <v xml:space="preserve"> </v>
      </c>
      <c r="N28" s="229">
        <f t="shared" si="0"/>
        <v>4</v>
      </c>
    </row>
    <row r="29" spans="1:14" ht="18.75">
      <c r="A29" s="60">
        <f>NOMINA!A31</f>
        <v>26</v>
      </c>
      <c r="B29" s="196" t="str">
        <f>NOMINA!B31</f>
        <v>QUISPE ESCARZA CIELO</v>
      </c>
      <c r="C29" s="138">
        <f>IF(GRAL.!C30&lt;51,GRAL.!C30," ")</f>
        <v>47</v>
      </c>
      <c r="D29" s="138" t="str">
        <f>IF(GRAL.!F30&lt;51,GRAL.!F30," ")</f>
        <v xml:space="preserve"> </v>
      </c>
      <c r="E29" s="138">
        <f>IF(GRAL.!I30&lt;51,GRAL.!I30," ")</f>
        <v>40</v>
      </c>
      <c r="F29" s="138" t="str">
        <f>IF(GRAL.!L30&lt;51,GRAL.!L30," ")</f>
        <v xml:space="preserve"> </v>
      </c>
      <c r="G29" s="138">
        <f>IF(GRAL.!O30&lt;51,GRAL.!O30," ")</f>
        <v>47</v>
      </c>
      <c r="H29" s="138" t="str">
        <f>IF(GRAL.!R30&lt;51,GRAL.!R30," ")</f>
        <v xml:space="preserve"> </v>
      </c>
      <c r="I29" s="138">
        <f>IF(GRAL.!U30&lt;51,GRAL.!U30," ")</f>
        <v>49</v>
      </c>
      <c r="J29" s="138">
        <f>IF(GRAL.!X30&lt;51,GRAL.!X30," ")</f>
        <v>39</v>
      </c>
      <c r="K29" s="138" t="str">
        <f>IF(GRAL.!AA30&lt;51,GRAL.!AA30," ")</f>
        <v xml:space="preserve"> </v>
      </c>
      <c r="L29" s="138" t="str">
        <f>IF(GRAL.!AD30&lt;51,GRAL.!AD30," ")</f>
        <v xml:space="preserve"> </v>
      </c>
      <c r="M29" s="138" t="str">
        <f>IF(GRAL.!AG30&lt;51,GRAL.!AG30," ")</f>
        <v xml:space="preserve"> </v>
      </c>
      <c r="N29" s="229">
        <f t="shared" si="0"/>
        <v>5</v>
      </c>
    </row>
    <row r="30" spans="1:14" ht="18.75">
      <c r="A30" s="60">
        <f>NOMINA!A32</f>
        <v>27</v>
      </c>
      <c r="B30" s="196" t="str">
        <f>NOMINA!B32</f>
        <v>QUISPE MILAN ADRIAN ANTHONY</v>
      </c>
      <c r="C30" s="138" t="str">
        <f>IF(GRAL.!C31&lt;51,GRAL.!C31," ")</f>
        <v xml:space="preserve"> </v>
      </c>
      <c r="D30" s="138" t="str">
        <f>IF(GRAL.!F31&lt;51,GRAL.!F31," ")</f>
        <v xml:space="preserve"> </v>
      </c>
      <c r="E30" s="138">
        <f>IF(GRAL.!I31&lt;51,GRAL.!I31," ")</f>
        <v>46</v>
      </c>
      <c r="F30" s="138" t="str">
        <f>IF(GRAL.!L31&lt;51,GRAL.!L31," ")</f>
        <v xml:space="preserve"> </v>
      </c>
      <c r="G30" s="138" t="str">
        <f>IF(GRAL.!O31&lt;51,GRAL.!O31," ")</f>
        <v xml:space="preserve"> </v>
      </c>
      <c r="H30" s="138" t="str">
        <f>IF(GRAL.!R31&lt;51,GRAL.!R31," ")</f>
        <v xml:space="preserve"> </v>
      </c>
      <c r="I30" s="138" t="str">
        <f>IF(GRAL.!U31&lt;51,GRAL.!U31," ")</f>
        <v xml:space="preserve"> </v>
      </c>
      <c r="J30" s="138" t="str">
        <f>IF(GRAL.!X31&lt;51,GRAL.!X31," ")</f>
        <v xml:space="preserve"> </v>
      </c>
      <c r="K30" s="138" t="str">
        <f>IF(GRAL.!AA31&lt;51,GRAL.!AA31," ")</f>
        <v xml:space="preserve"> </v>
      </c>
      <c r="L30" s="138" t="str">
        <f>IF(GRAL.!AD31&lt;51,GRAL.!AD31," ")</f>
        <v xml:space="preserve"> </v>
      </c>
      <c r="M30" s="138" t="str">
        <f>IF(GRAL.!AG31&lt;51,GRAL.!AG31," ")</f>
        <v xml:space="preserve"> </v>
      </c>
      <c r="N30" s="229">
        <f t="shared" si="0"/>
        <v>1</v>
      </c>
    </row>
    <row r="31" spans="1:14" ht="18.75">
      <c r="A31" s="60">
        <f>NOMINA!A33</f>
        <v>28</v>
      </c>
      <c r="B31" s="196" t="str">
        <f>NOMINA!B33</f>
        <v>ROMAN TITO MATEO</v>
      </c>
      <c r="C31" s="138" t="str">
        <f>IF(GRAL.!C32&lt;51,GRAL.!C32," ")</f>
        <v xml:space="preserve"> </v>
      </c>
      <c r="D31" s="138" t="str">
        <f>IF(GRAL.!F32&lt;51,GRAL.!F32," ")</f>
        <v xml:space="preserve"> </v>
      </c>
      <c r="E31" s="138" t="str">
        <f>IF(GRAL.!I32&lt;51,GRAL.!I32," ")</f>
        <v xml:space="preserve"> </v>
      </c>
      <c r="F31" s="138" t="str">
        <f>IF(GRAL.!L32&lt;51,GRAL.!L32," ")</f>
        <v xml:space="preserve"> </v>
      </c>
      <c r="G31" s="138" t="str">
        <f>IF(GRAL.!O32&lt;51,GRAL.!O32," ")</f>
        <v xml:space="preserve"> </v>
      </c>
      <c r="H31" s="138" t="str">
        <f>IF(GRAL.!R32&lt;51,GRAL.!R32," ")</f>
        <v xml:space="preserve"> </v>
      </c>
      <c r="I31" s="138" t="str">
        <f>IF(GRAL.!U32&lt;51,GRAL.!U32," ")</f>
        <v xml:space="preserve"> </v>
      </c>
      <c r="J31" s="138" t="str">
        <f>IF(GRAL.!X32&lt;51,GRAL.!X32," ")</f>
        <v xml:space="preserve"> </v>
      </c>
      <c r="K31" s="138" t="str">
        <f>IF(GRAL.!AA32&lt;51,GRAL.!AA32," ")</f>
        <v xml:space="preserve"> </v>
      </c>
      <c r="L31" s="138" t="str">
        <f>IF(GRAL.!AD32&lt;51,GRAL.!AD32," ")</f>
        <v xml:space="preserve"> </v>
      </c>
      <c r="M31" s="138" t="str">
        <f>IF(GRAL.!AG32&lt;51,GRAL.!AG32," ")</f>
        <v xml:space="preserve"> </v>
      </c>
      <c r="N31" s="229" t="str">
        <f t="shared" si="0"/>
        <v xml:space="preserve"> </v>
      </c>
    </row>
    <row r="32" spans="1:14" ht="18.75">
      <c r="A32" s="60">
        <f>NOMINA!A34</f>
        <v>29</v>
      </c>
      <c r="B32" s="196" t="str">
        <f>NOMINA!B34</f>
        <v xml:space="preserve">SILES MAMANI JUSTIN ANGEL </v>
      </c>
      <c r="C32" s="138" t="str">
        <f>IF(GRAL.!C33&lt;51,GRAL.!C33," ")</f>
        <v xml:space="preserve"> </v>
      </c>
      <c r="D32" s="138" t="str">
        <f>IF(GRAL.!F33&lt;51,GRAL.!F33," ")</f>
        <v xml:space="preserve"> </v>
      </c>
      <c r="E32" s="138" t="str">
        <f>IF(GRAL.!I33&lt;51,GRAL.!I33," ")</f>
        <v xml:space="preserve"> </v>
      </c>
      <c r="F32" s="138" t="str">
        <f>IF(GRAL.!L33&lt;51,GRAL.!L33," ")</f>
        <v xml:space="preserve"> </v>
      </c>
      <c r="G32" s="138" t="str">
        <f>IF(GRAL.!O33&lt;51,GRAL.!O33," ")</f>
        <v xml:space="preserve"> </v>
      </c>
      <c r="H32" s="138" t="str">
        <f>IF(GRAL.!R33&lt;51,GRAL.!R33," ")</f>
        <v xml:space="preserve"> </v>
      </c>
      <c r="I32" s="138" t="str">
        <f>IF(GRAL.!U33&lt;51,GRAL.!U33," ")</f>
        <v xml:space="preserve"> </v>
      </c>
      <c r="J32" s="138" t="str">
        <f>IF(GRAL.!X33&lt;51,GRAL.!X33," ")</f>
        <v xml:space="preserve"> </v>
      </c>
      <c r="K32" s="138" t="str">
        <f>IF(GRAL.!AA33&lt;51,GRAL.!AA33," ")</f>
        <v xml:space="preserve"> </v>
      </c>
      <c r="L32" s="138" t="str">
        <f>IF(GRAL.!AD33&lt;51,GRAL.!AD33," ")</f>
        <v xml:space="preserve"> </v>
      </c>
      <c r="M32" s="138" t="str">
        <f>IF(GRAL.!AG33&lt;51,GRAL.!AG33," ")</f>
        <v xml:space="preserve"> </v>
      </c>
      <c r="N32" s="229" t="str">
        <f t="shared" si="0"/>
        <v xml:space="preserve"> </v>
      </c>
    </row>
    <row r="33" spans="1:14" ht="18.75">
      <c r="A33" s="60">
        <f>NOMINA!A35</f>
        <v>30</v>
      </c>
      <c r="B33" s="196" t="str">
        <f>NOMINA!B35</f>
        <v>TERAN COCA DIEGO NICOLAS</v>
      </c>
      <c r="C33" s="138" t="str">
        <f>IF(GRAL.!C34&lt;51,GRAL.!C34," ")</f>
        <v xml:space="preserve"> </v>
      </c>
      <c r="D33" s="138" t="str">
        <f>IF(GRAL.!F34&lt;51,GRAL.!F34," ")</f>
        <v xml:space="preserve"> </v>
      </c>
      <c r="E33" s="138" t="str">
        <f>IF(GRAL.!I34&lt;51,GRAL.!I34," ")</f>
        <v xml:space="preserve"> </v>
      </c>
      <c r="F33" s="138" t="str">
        <f>IF(GRAL.!L34&lt;51,GRAL.!L34," ")</f>
        <v xml:space="preserve"> </v>
      </c>
      <c r="G33" s="138" t="str">
        <f>IF(GRAL.!O34&lt;51,GRAL.!O34," ")</f>
        <v xml:space="preserve"> </v>
      </c>
      <c r="H33" s="138" t="str">
        <f>IF(GRAL.!R34&lt;51,GRAL.!R34," ")</f>
        <v xml:space="preserve"> </v>
      </c>
      <c r="I33" s="138" t="str">
        <f>IF(GRAL.!U34&lt;51,GRAL.!U34," ")</f>
        <v xml:space="preserve"> </v>
      </c>
      <c r="J33" s="138" t="str">
        <f>IF(GRAL.!X34&lt;51,GRAL.!X34," ")</f>
        <v xml:space="preserve"> </v>
      </c>
      <c r="K33" s="138" t="str">
        <f>IF(GRAL.!AA34&lt;51,GRAL.!AA34," ")</f>
        <v xml:space="preserve"> </v>
      </c>
      <c r="L33" s="138" t="str">
        <f>IF(GRAL.!AD34&lt;51,GRAL.!AD34," ")</f>
        <v xml:space="preserve"> </v>
      </c>
      <c r="M33" s="138" t="str">
        <f>IF(GRAL.!AG34&lt;51,GRAL.!AG34," ")</f>
        <v xml:space="preserve"> </v>
      </c>
      <c r="N33" s="229" t="str">
        <f t="shared" si="0"/>
        <v xml:space="preserve"> </v>
      </c>
    </row>
    <row r="34" spans="1:14" ht="18.75">
      <c r="A34" s="60">
        <f>NOMINA!A36</f>
        <v>31</v>
      </c>
      <c r="B34" s="196" t="str">
        <f>NOMINA!B36</f>
        <v>URIA LOPEZ SEBASTIAN ARIEL</v>
      </c>
      <c r="C34" s="138" t="str">
        <f>IF(GRAL.!C35&lt;51,GRAL.!C35," ")</f>
        <v xml:space="preserve"> </v>
      </c>
      <c r="D34" s="138" t="str">
        <f>IF(GRAL.!F35&lt;51,GRAL.!F35," ")</f>
        <v xml:space="preserve"> </v>
      </c>
      <c r="E34" s="138" t="str">
        <f>IF(GRAL.!I35&lt;51,GRAL.!I35," ")</f>
        <v xml:space="preserve"> </v>
      </c>
      <c r="F34" s="138" t="str">
        <f>IF(GRAL.!L35&lt;51,GRAL.!L35," ")</f>
        <v xml:space="preserve"> </v>
      </c>
      <c r="G34" s="138" t="str">
        <f>IF(GRAL.!O35&lt;51,GRAL.!O35," ")</f>
        <v xml:space="preserve"> </v>
      </c>
      <c r="H34" s="138" t="str">
        <f>IF(GRAL.!R35&lt;51,GRAL.!R35," ")</f>
        <v xml:space="preserve"> </v>
      </c>
      <c r="I34" s="138" t="str">
        <f>IF(GRAL.!U35&lt;51,GRAL.!U35," ")</f>
        <v xml:space="preserve"> </v>
      </c>
      <c r="J34" s="138" t="str">
        <f>IF(GRAL.!X35&lt;51,GRAL.!X35," ")</f>
        <v xml:space="preserve"> </v>
      </c>
      <c r="K34" s="138" t="str">
        <f>IF(GRAL.!AA35&lt;51,GRAL.!AA35," ")</f>
        <v xml:space="preserve"> </v>
      </c>
      <c r="L34" s="138" t="str">
        <f>IF(GRAL.!AD35&lt;51,GRAL.!AD35," ")</f>
        <v xml:space="preserve"> </v>
      </c>
      <c r="M34" s="138" t="str">
        <f>IF(GRAL.!AG35&lt;51,GRAL.!AG35," ")</f>
        <v xml:space="preserve"> </v>
      </c>
      <c r="N34" s="229" t="str">
        <f t="shared" si="0"/>
        <v xml:space="preserve"> </v>
      </c>
    </row>
    <row r="35" spans="1:14" ht="18.75">
      <c r="A35" s="60">
        <f>NOMINA!A37</f>
        <v>32</v>
      </c>
      <c r="B35" s="196" t="str">
        <f>NOMINA!B37</f>
        <v>VASQUEZ ESPINOZA JHONATAN YAYCOB</v>
      </c>
      <c r="C35" s="138" t="str">
        <f>IF(GRAL.!C36&lt;51,GRAL.!C36," ")</f>
        <v xml:space="preserve"> </v>
      </c>
      <c r="D35" s="138" t="str">
        <f>IF(GRAL.!F36&lt;51,GRAL.!F36," ")</f>
        <v xml:space="preserve"> </v>
      </c>
      <c r="E35" s="138" t="str">
        <f>IF(GRAL.!I36&lt;51,GRAL.!I36," ")</f>
        <v xml:space="preserve"> </v>
      </c>
      <c r="F35" s="138" t="str">
        <f>IF(GRAL.!L36&lt;51,GRAL.!L36," ")</f>
        <v xml:space="preserve"> </v>
      </c>
      <c r="G35" s="138" t="str">
        <f>IF(GRAL.!O36&lt;51,GRAL.!O36," ")</f>
        <v xml:space="preserve"> </v>
      </c>
      <c r="H35" s="138" t="str">
        <f>IF(GRAL.!R36&lt;51,GRAL.!R36," ")</f>
        <v xml:space="preserve"> </v>
      </c>
      <c r="I35" s="138" t="str">
        <f>IF(GRAL.!U36&lt;51,GRAL.!U36," ")</f>
        <v xml:space="preserve"> </v>
      </c>
      <c r="J35" s="138" t="str">
        <f>IF(GRAL.!X36&lt;51,GRAL.!X36," ")</f>
        <v xml:space="preserve"> </v>
      </c>
      <c r="K35" s="138" t="str">
        <f>IF(GRAL.!AA36&lt;51,GRAL.!AA36," ")</f>
        <v xml:space="preserve"> </v>
      </c>
      <c r="L35" s="138" t="str">
        <f>IF(GRAL.!AD36&lt;51,GRAL.!AD36," ")</f>
        <v xml:space="preserve"> </v>
      </c>
      <c r="M35" s="138" t="str">
        <f>IF(GRAL.!AG36&lt;51,GRAL.!AG36," ")</f>
        <v xml:space="preserve"> </v>
      </c>
      <c r="N35" s="229" t="str">
        <f t="shared" si="0"/>
        <v xml:space="preserve"> </v>
      </c>
    </row>
    <row r="36" spans="1:14" ht="18.75">
      <c r="A36" s="60">
        <f>NOMINA!A38</f>
        <v>33</v>
      </c>
      <c r="B36" s="196" t="str">
        <f>NOMINA!B38</f>
        <v>VEIZAGA LEDEZMA SEBASTIAN</v>
      </c>
      <c r="C36" s="138" t="str">
        <f>IF(GRAL.!C37&lt;51,GRAL.!C37," ")</f>
        <v xml:space="preserve"> </v>
      </c>
      <c r="D36" s="138" t="str">
        <f>IF(GRAL.!F37&lt;51,GRAL.!F37," ")</f>
        <v xml:space="preserve"> </v>
      </c>
      <c r="E36" s="138" t="str">
        <f>IF(GRAL.!I37&lt;51,GRAL.!I37," ")</f>
        <v xml:space="preserve"> </v>
      </c>
      <c r="F36" s="138" t="str">
        <f>IF(GRAL.!L37&lt;51,GRAL.!L37," ")</f>
        <v xml:space="preserve"> </v>
      </c>
      <c r="G36" s="138" t="str">
        <f>IF(GRAL.!O37&lt;51,GRAL.!O37," ")</f>
        <v xml:space="preserve"> </v>
      </c>
      <c r="H36" s="138" t="str">
        <f>IF(GRAL.!R37&lt;51,GRAL.!R37," ")</f>
        <v xml:space="preserve"> </v>
      </c>
      <c r="I36" s="138" t="str">
        <f>IF(GRAL.!U37&lt;51,GRAL.!U37," ")</f>
        <v xml:space="preserve"> </v>
      </c>
      <c r="J36" s="138" t="str">
        <f>IF(GRAL.!X37&lt;51,GRAL.!X37," ")</f>
        <v xml:space="preserve"> </v>
      </c>
      <c r="K36" s="138" t="str">
        <f>IF(GRAL.!AA37&lt;51,GRAL.!AA37," ")</f>
        <v xml:space="preserve"> </v>
      </c>
      <c r="L36" s="138" t="str">
        <f>IF(GRAL.!AD37&lt;51,GRAL.!AD37," ")</f>
        <v xml:space="preserve"> </v>
      </c>
      <c r="M36" s="138" t="str">
        <f>IF(GRAL.!AG37&lt;51,GRAL.!AG37," ")</f>
        <v xml:space="preserve"> </v>
      </c>
      <c r="N36" s="229" t="str">
        <f t="shared" si="0"/>
        <v xml:space="preserve"> </v>
      </c>
    </row>
    <row r="37" spans="1:14" ht="18.75">
      <c r="A37" s="60">
        <f>NOMINA!A39</f>
        <v>34</v>
      </c>
      <c r="B37" s="196" t="str">
        <f>NOMINA!B39</f>
        <v>VILLARROEL CUCHILLO HUGO SEBASTIAN</v>
      </c>
      <c r="C37" s="138" t="str">
        <f>IF(GRAL.!C38&lt;51,GRAL.!C38," ")</f>
        <v xml:space="preserve"> </v>
      </c>
      <c r="D37" s="138" t="str">
        <f>IF(GRAL.!F38&lt;51,GRAL.!F38," ")</f>
        <v xml:space="preserve"> </v>
      </c>
      <c r="E37" s="138" t="str">
        <f>IF(GRAL.!I38&lt;51,GRAL.!I38," ")</f>
        <v xml:space="preserve"> </v>
      </c>
      <c r="F37" s="138" t="str">
        <f>IF(GRAL.!L38&lt;51,GRAL.!L38," ")</f>
        <v xml:space="preserve"> </v>
      </c>
      <c r="G37" s="138" t="str">
        <f>IF(GRAL.!O38&lt;51,GRAL.!O38," ")</f>
        <v xml:space="preserve"> </v>
      </c>
      <c r="H37" s="138" t="str">
        <f>IF(GRAL.!R38&lt;51,GRAL.!R38," ")</f>
        <v xml:space="preserve"> </v>
      </c>
      <c r="I37" s="138">
        <f>IF(GRAL.!U38&lt;51,GRAL.!U38," ")</f>
        <v>49</v>
      </c>
      <c r="J37" s="138" t="str">
        <f>IF(GRAL.!X38&lt;51,GRAL.!X38," ")</f>
        <v xml:space="preserve"> </v>
      </c>
      <c r="K37" s="138" t="str">
        <f>IF(GRAL.!AA38&lt;51,GRAL.!AA38," ")</f>
        <v xml:space="preserve"> </v>
      </c>
      <c r="L37" s="138">
        <f>IF(GRAL.!AD38&lt;51,GRAL.!AD38," ")</f>
        <v>47</v>
      </c>
      <c r="M37" s="138" t="str">
        <f>IF(GRAL.!AG38&lt;51,GRAL.!AG38," ")</f>
        <v xml:space="preserve"> </v>
      </c>
      <c r="N37" s="229">
        <f t="shared" si="0"/>
        <v>2</v>
      </c>
    </row>
    <row r="38" spans="1:14" ht="18.75">
      <c r="A38" s="60">
        <f>NOMINA!A40</f>
        <v>35</v>
      </c>
      <c r="B38" s="196" t="str">
        <f>NOMINA!B40</f>
        <v>ZAMBRANA MENDEZ MIRCO ALEXANDER</v>
      </c>
      <c r="C38" s="138">
        <f>IF(GRAL.!C39&lt;51,GRAL.!C39," ")</f>
        <v>45</v>
      </c>
      <c r="D38" s="138">
        <f>IF(GRAL.!F39&lt;51,GRAL.!F39," ")</f>
        <v>41</v>
      </c>
      <c r="E38" s="138" t="str">
        <f>IF(GRAL.!I39&lt;51,GRAL.!I39," ")</f>
        <v xml:space="preserve"> </v>
      </c>
      <c r="F38" s="138" t="str">
        <f>IF(GRAL.!L39&lt;51,GRAL.!L39," ")</f>
        <v xml:space="preserve"> </v>
      </c>
      <c r="G38" s="138" t="str">
        <f>IF(GRAL.!O39&lt;51,GRAL.!O39," ")</f>
        <v xml:space="preserve"> </v>
      </c>
      <c r="H38" s="138" t="str">
        <f>IF(GRAL.!R39&lt;51,GRAL.!R39," ")</f>
        <v xml:space="preserve"> </v>
      </c>
      <c r="I38" s="138">
        <f>IF(GRAL.!U39&lt;51,GRAL.!U39," ")</f>
        <v>47</v>
      </c>
      <c r="J38" s="138">
        <f>IF(GRAL.!X39&lt;51,GRAL.!X39," ")</f>
        <v>43</v>
      </c>
      <c r="K38" s="138" t="str">
        <f>IF(GRAL.!AA39&lt;51,GRAL.!AA39," ")</f>
        <v xml:space="preserve"> </v>
      </c>
      <c r="L38" s="138" t="str">
        <f>IF(GRAL.!AD39&lt;51,GRAL.!AD39," ")</f>
        <v xml:space="preserve"> </v>
      </c>
      <c r="M38" s="138" t="str">
        <f>IF(GRAL.!AG39&lt;51,GRAL.!AG39," ")</f>
        <v xml:space="preserve"> </v>
      </c>
      <c r="N38" s="229">
        <f t="shared" si="0"/>
        <v>4</v>
      </c>
    </row>
    <row r="39" spans="1:14" ht="18.75">
      <c r="A39" s="60">
        <f>NOMINA!A41</f>
        <v>36</v>
      </c>
      <c r="B39" s="196">
        <f>NOMINA!B41</f>
        <v>0</v>
      </c>
      <c r="C39" s="138" t="str">
        <f>IF(GRAL.!C40&lt;51,GRAL.!C40," ")</f>
        <v xml:space="preserve"> </v>
      </c>
      <c r="D39" s="138" t="str">
        <f>IF(GRAL.!F40&lt;51,GRAL.!F40," ")</f>
        <v xml:space="preserve"> </v>
      </c>
      <c r="E39" s="138" t="str">
        <f>IF(GRAL.!I40&lt;51,GRAL.!I40," ")</f>
        <v xml:space="preserve"> </v>
      </c>
      <c r="F39" s="138" t="str">
        <f>IF(GRAL.!L40&lt;51,GRAL.!L40," ")</f>
        <v xml:space="preserve"> </v>
      </c>
      <c r="G39" s="138" t="str">
        <f>IF(GRAL.!O40&lt;51,GRAL.!O40," ")</f>
        <v xml:space="preserve"> </v>
      </c>
      <c r="H39" s="138" t="str">
        <f>IF(GRAL.!R40&lt;51,GRAL.!R40," ")</f>
        <v xml:space="preserve"> </v>
      </c>
      <c r="I39" s="138" t="str">
        <f>IF(GRAL.!U40&lt;51,GRAL.!U40," ")</f>
        <v xml:space="preserve"> </v>
      </c>
      <c r="J39" s="138" t="str">
        <f>IF(GRAL.!X40&lt;51,GRAL.!X40," ")</f>
        <v xml:space="preserve"> </v>
      </c>
      <c r="K39" s="138" t="str">
        <f>IF(GRAL.!AA40&lt;51,GRAL.!AA40," ")</f>
        <v xml:space="preserve"> </v>
      </c>
      <c r="L39" s="138" t="str">
        <f>IF(GRAL.!AD40&lt;51,GRAL.!AD40," ")</f>
        <v xml:space="preserve"> </v>
      </c>
      <c r="M39" s="138" t="str">
        <f>IF(GRAL.!AG40&lt;51,GRAL.!AG40," ")</f>
        <v xml:space="preserve"> </v>
      </c>
      <c r="N39" s="229" t="str">
        <f t="shared" si="0"/>
        <v xml:space="preserve"> </v>
      </c>
    </row>
    <row r="40" spans="1:14" ht="18.75">
      <c r="A40" s="60">
        <f>NOMINA!A42</f>
        <v>37</v>
      </c>
      <c r="B40" s="196">
        <f>NOMINA!B42</f>
        <v>0</v>
      </c>
      <c r="C40" s="138" t="str">
        <f>IF(GRAL.!C41&lt;51,GRAL.!C41," ")</f>
        <v xml:space="preserve"> </v>
      </c>
      <c r="D40" s="138" t="str">
        <f>IF(GRAL.!F41&lt;51,GRAL.!F41," ")</f>
        <v xml:space="preserve"> </v>
      </c>
      <c r="E40" s="138" t="str">
        <f>IF(GRAL.!I41&lt;51,GRAL.!I41," ")</f>
        <v xml:space="preserve"> </v>
      </c>
      <c r="F40" s="138" t="str">
        <f>IF(GRAL.!L41&lt;51,GRAL.!L41," ")</f>
        <v xml:space="preserve"> </v>
      </c>
      <c r="G40" s="138" t="str">
        <f>IF(GRAL.!O41&lt;51,GRAL.!O41," ")</f>
        <v xml:space="preserve"> </v>
      </c>
      <c r="H40" s="138" t="str">
        <f>IF(GRAL.!R41&lt;51,GRAL.!R41," ")</f>
        <v xml:space="preserve"> </v>
      </c>
      <c r="I40" s="138" t="str">
        <f>IF(GRAL.!U41&lt;51,GRAL.!U41," ")</f>
        <v xml:space="preserve"> </v>
      </c>
      <c r="J40" s="138" t="str">
        <f>IF(GRAL.!X41&lt;51,GRAL.!X41," ")</f>
        <v xml:space="preserve"> </v>
      </c>
      <c r="K40" s="138" t="str">
        <f>IF(GRAL.!AA41&lt;51,GRAL.!AA41," ")</f>
        <v xml:space="preserve"> </v>
      </c>
      <c r="L40" s="138" t="str">
        <f>IF(GRAL.!AD41&lt;51,GRAL.!AD41," ")</f>
        <v xml:space="preserve"> </v>
      </c>
      <c r="M40" s="138" t="str">
        <f>IF(GRAL.!AG41&lt;51,GRAL.!AG41," ")</f>
        <v xml:space="preserve"> </v>
      </c>
      <c r="N40" s="229" t="str">
        <f t="shared" si="0"/>
        <v xml:space="preserve"> </v>
      </c>
    </row>
    <row r="41" spans="1:14" ht="18.75">
      <c r="A41" s="60">
        <f>NOMINA!A43</f>
        <v>38</v>
      </c>
      <c r="B41" s="196">
        <f>NOMINA!B43</f>
        <v>0</v>
      </c>
      <c r="C41" s="138" t="str">
        <f>IF(GRAL.!C42&lt;51,GRAL.!C42," ")</f>
        <v xml:space="preserve"> </v>
      </c>
      <c r="D41" s="138" t="str">
        <f>IF(GRAL.!F42&lt;51,GRAL.!F42," ")</f>
        <v xml:space="preserve"> </v>
      </c>
      <c r="E41" s="138" t="str">
        <f>IF(GRAL.!I42&lt;51,GRAL.!I42," ")</f>
        <v xml:space="preserve"> </v>
      </c>
      <c r="F41" s="138" t="str">
        <f>IF(GRAL.!L42&lt;51,GRAL.!L42," ")</f>
        <v xml:space="preserve"> </v>
      </c>
      <c r="G41" s="138" t="str">
        <f>IF(GRAL.!O42&lt;51,GRAL.!O42," ")</f>
        <v xml:space="preserve"> </v>
      </c>
      <c r="H41" s="138" t="str">
        <f>IF(GRAL.!R42&lt;51,GRAL.!R42," ")</f>
        <v xml:space="preserve"> </v>
      </c>
      <c r="I41" s="138" t="str">
        <f>IF(GRAL.!U42&lt;51,GRAL.!U42," ")</f>
        <v xml:space="preserve"> </v>
      </c>
      <c r="J41" s="138" t="str">
        <f>IF(GRAL.!X42&lt;51,GRAL.!X42," ")</f>
        <v xml:space="preserve"> </v>
      </c>
      <c r="K41" s="138" t="str">
        <f>IF(GRAL.!AA42&lt;51,GRAL.!AA42," ")</f>
        <v xml:space="preserve"> </v>
      </c>
      <c r="L41" s="138" t="str">
        <f>IF(GRAL.!AD42&lt;51,GRAL.!AD42," ")</f>
        <v xml:space="preserve"> </v>
      </c>
      <c r="M41" s="138" t="str">
        <f>IF(GRAL.!AG42&lt;51,GRAL.!AG42," ")</f>
        <v xml:space="preserve"> </v>
      </c>
      <c r="N41" s="229" t="str">
        <f t="shared" si="0"/>
        <v xml:space="preserve"> </v>
      </c>
    </row>
    <row r="42" spans="1:14" ht="18.75">
      <c r="A42" s="60">
        <f>NOMINA!A44</f>
        <v>39</v>
      </c>
      <c r="B42" s="196">
        <f>NOMINA!B44</f>
        <v>0</v>
      </c>
      <c r="C42" s="138" t="str">
        <f>IF(GRAL.!C43&lt;51,GRAL.!C43," ")</f>
        <v xml:space="preserve"> </v>
      </c>
      <c r="D42" s="138" t="str">
        <f>IF(GRAL.!F43&lt;51,GRAL.!F43," ")</f>
        <v xml:space="preserve"> </v>
      </c>
      <c r="E42" s="138" t="str">
        <f>IF(GRAL.!I43&lt;51,GRAL.!I43," ")</f>
        <v xml:space="preserve"> </v>
      </c>
      <c r="F42" s="138" t="str">
        <f>IF(GRAL.!L43&lt;51,GRAL.!L43," ")</f>
        <v xml:space="preserve"> </v>
      </c>
      <c r="G42" s="138" t="str">
        <f>IF(GRAL.!O43&lt;51,GRAL.!O43," ")</f>
        <v xml:space="preserve"> </v>
      </c>
      <c r="H42" s="138" t="str">
        <f>IF(GRAL.!R43&lt;51,GRAL.!R43," ")</f>
        <v xml:space="preserve"> </v>
      </c>
      <c r="I42" s="138" t="str">
        <f>IF(GRAL.!U43&lt;51,GRAL.!U43," ")</f>
        <v xml:space="preserve"> </v>
      </c>
      <c r="J42" s="138" t="str">
        <f>IF(GRAL.!X43&lt;51,GRAL.!X43," ")</f>
        <v xml:space="preserve"> </v>
      </c>
      <c r="K42" s="138" t="str">
        <f>IF(GRAL.!AA43&lt;51,GRAL.!AA43," ")</f>
        <v xml:space="preserve"> </v>
      </c>
      <c r="L42" s="138" t="str">
        <f>IF(GRAL.!AD43&lt;51,GRAL.!AD43," ")</f>
        <v xml:space="preserve"> </v>
      </c>
      <c r="M42" s="138" t="str">
        <f>IF(GRAL.!AG43&lt;51,GRAL.!AG43," ")</f>
        <v xml:space="preserve"> </v>
      </c>
      <c r="N42" s="229" t="str">
        <f t="shared" si="0"/>
        <v xml:space="preserve"> </v>
      </c>
    </row>
    <row r="43" spans="1:14" ht="18.75">
      <c r="A43" s="60">
        <f>NOMINA!A45</f>
        <v>40</v>
      </c>
      <c r="B43" s="196">
        <f>NOMINA!B45</f>
        <v>0</v>
      </c>
      <c r="C43" s="138" t="str">
        <f>IF(GRAL.!C44&lt;51,GRAL.!C44," ")</f>
        <v xml:space="preserve"> </v>
      </c>
      <c r="D43" s="138" t="str">
        <f>IF(GRAL.!F44&lt;51,GRAL.!F44," ")</f>
        <v xml:space="preserve"> </v>
      </c>
      <c r="E43" s="138" t="str">
        <f>IF(GRAL.!I44&lt;51,GRAL.!I44," ")</f>
        <v xml:space="preserve"> </v>
      </c>
      <c r="F43" s="138" t="str">
        <f>IF(GRAL.!L44&lt;51,GRAL.!L44," ")</f>
        <v xml:space="preserve"> </v>
      </c>
      <c r="G43" s="138" t="str">
        <f>IF(GRAL.!O44&lt;51,GRAL.!O44," ")</f>
        <v xml:space="preserve"> </v>
      </c>
      <c r="H43" s="138" t="str">
        <f>IF(GRAL.!R44&lt;51,GRAL.!R44," ")</f>
        <v xml:space="preserve"> </v>
      </c>
      <c r="I43" s="138" t="str">
        <f>IF(GRAL.!U44&lt;51,GRAL.!U44," ")</f>
        <v xml:space="preserve"> </v>
      </c>
      <c r="J43" s="138" t="str">
        <f>IF(GRAL.!X44&lt;51,GRAL.!X44," ")</f>
        <v xml:space="preserve"> </v>
      </c>
      <c r="K43" s="138" t="str">
        <f>IF(GRAL.!AA44&lt;51,GRAL.!AA44," ")</f>
        <v xml:space="preserve"> </v>
      </c>
      <c r="L43" s="138" t="str">
        <f>IF(GRAL.!AD44&lt;51,GRAL.!AD44," ")</f>
        <v xml:space="preserve"> </v>
      </c>
      <c r="M43" s="138" t="str">
        <f>IF(GRAL.!AG44&lt;51,GRAL.!AG44," ")</f>
        <v xml:space="preserve"> </v>
      </c>
      <c r="N43" s="229" t="str">
        <f t="shared" si="0"/>
        <v xml:space="preserve"> </v>
      </c>
    </row>
    <row r="44" spans="1:14" ht="18.75">
      <c r="A44" s="60">
        <f>NOMINA!A46</f>
        <v>41</v>
      </c>
      <c r="B44" s="196">
        <f>NOMINA!B46</f>
        <v>0</v>
      </c>
      <c r="C44" s="138" t="str">
        <f>IF(GRAL.!C45&lt;51,GRAL.!C45," ")</f>
        <v xml:space="preserve"> </v>
      </c>
      <c r="D44" s="138" t="str">
        <f>IF(GRAL.!F45&lt;51,GRAL.!F45," ")</f>
        <v xml:space="preserve"> </v>
      </c>
      <c r="E44" s="138" t="str">
        <f>IF(GRAL.!I45&lt;51,GRAL.!I45," ")</f>
        <v xml:space="preserve"> </v>
      </c>
      <c r="F44" s="138" t="str">
        <f>IF(GRAL.!L45&lt;51,GRAL.!L45," ")</f>
        <v xml:space="preserve"> </v>
      </c>
      <c r="G44" s="138" t="str">
        <f>IF(GRAL.!O45&lt;51,GRAL.!O45," ")</f>
        <v xml:space="preserve"> </v>
      </c>
      <c r="H44" s="138" t="str">
        <f>IF(GRAL.!R45&lt;51,GRAL.!R45," ")</f>
        <v xml:space="preserve"> </v>
      </c>
      <c r="I44" s="138" t="str">
        <f>IF(GRAL.!U45&lt;51,GRAL.!U45," ")</f>
        <v xml:space="preserve"> </v>
      </c>
      <c r="J44" s="138" t="str">
        <f>IF(GRAL.!X45&lt;51,GRAL.!X45," ")</f>
        <v xml:space="preserve"> </v>
      </c>
      <c r="K44" s="138" t="str">
        <f>IF(GRAL.!AA45&lt;51,GRAL.!AA45," ")</f>
        <v xml:space="preserve"> </v>
      </c>
      <c r="L44" s="138" t="str">
        <f>IF(GRAL.!AD45&lt;51,GRAL.!AD45," ")</f>
        <v xml:space="preserve"> </v>
      </c>
      <c r="M44" s="138" t="str">
        <f>IF(GRAL.!AG45&lt;51,GRAL.!AG45," ")</f>
        <v xml:space="preserve"> </v>
      </c>
      <c r="N44" s="229" t="str">
        <f t="shared" si="0"/>
        <v xml:space="preserve"> </v>
      </c>
    </row>
    <row r="45" spans="1:14" ht="15.75" thickBot="1">
      <c r="A45" s="18"/>
      <c r="B45" s="18"/>
      <c r="C45" s="18"/>
      <c r="D45" s="18"/>
      <c r="E45" s="18"/>
      <c r="F45" s="18"/>
      <c r="G45" s="18"/>
      <c r="H45" s="18"/>
      <c r="I45" s="18"/>
      <c r="J45" s="18"/>
      <c r="K45" s="18"/>
      <c r="L45" s="18"/>
      <c r="M45" s="18"/>
      <c r="N45" s="120"/>
    </row>
    <row r="46" spans="1:14" ht="19.5" customHeight="1" thickBot="1">
      <c r="A46" s="18"/>
      <c r="B46" s="123" t="s">
        <v>148</v>
      </c>
      <c r="C46" s="124">
        <f>COUNT(C4:C44)</f>
        <v>10</v>
      </c>
      <c r="D46" s="124">
        <f t="shared" ref="D46:M46" si="1">COUNT(D4:D44)</f>
        <v>8</v>
      </c>
      <c r="E46" s="124">
        <f t="shared" si="1"/>
        <v>10</v>
      </c>
      <c r="F46" s="124">
        <f t="shared" si="1"/>
        <v>2</v>
      </c>
      <c r="G46" s="124">
        <f t="shared" si="1"/>
        <v>4</v>
      </c>
      <c r="H46" s="124">
        <f t="shared" si="1"/>
        <v>0</v>
      </c>
      <c r="I46" s="124">
        <f t="shared" si="1"/>
        <v>8</v>
      </c>
      <c r="J46" s="124">
        <f t="shared" si="1"/>
        <v>4</v>
      </c>
      <c r="K46" s="124">
        <f t="shared" si="1"/>
        <v>2</v>
      </c>
      <c r="L46" s="124">
        <f t="shared" si="1"/>
        <v>5</v>
      </c>
      <c r="M46" s="124">
        <f t="shared" si="1"/>
        <v>0</v>
      </c>
      <c r="N46" s="161">
        <f>SUM(N4:N44)</f>
        <v>53</v>
      </c>
    </row>
    <row r="47" spans="1:14" ht="22.5" customHeight="1" thickBot="1">
      <c r="B47" s="125" t="s">
        <v>147</v>
      </c>
      <c r="C47" s="126">
        <f>GRAL.!C52</f>
        <v>28.571428571428569</v>
      </c>
      <c r="D47" s="126">
        <f>GRAL.!F52</f>
        <v>22.857142857142847</v>
      </c>
      <c r="E47" s="126">
        <f>GRAL.!I52</f>
        <v>28.571428571428569</v>
      </c>
      <c r="F47" s="126">
        <f>GRAL.!L52</f>
        <v>5.7142857142857224</v>
      </c>
      <c r="G47" s="126">
        <f>GRAL.!O52</f>
        <v>11.428571428571431</v>
      </c>
      <c r="H47" s="126">
        <f>GRAL.!R52</f>
        <v>0</v>
      </c>
      <c r="I47" s="126">
        <f>GRAL.!U52</f>
        <v>22.857142857142847</v>
      </c>
      <c r="J47" s="126">
        <f>GRAL.!X52</f>
        <v>11.428571428571431</v>
      </c>
      <c r="K47" s="126">
        <f>GRAL.!AA52</f>
        <v>5.7142857142857224</v>
      </c>
      <c r="L47" s="126">
        <f>GRAL.!AD52</f>
        <v>14.285714285714292</v>
      </c>
      <c r="M47" s="159">
        <f>GRAL.!AG52</f>
        <v>0</v>
      </c>
      <c r="N47" s="160">
        <f>AVERAGE(C47:M47)</f>
        <v>13.766233766233768</v>
      </c>
    </row>
  </sheetData>
  <mergeCells count="14">
    <mergeCell ref="N2:N3"/>
    <mergeCell ref="Q6:R6"/>
    <mergeCell ref="H2:H3"/>
    <mergeCell ref="I2:I3"/>
    <mergeCell ref="J2:J3"/>
    <mergeCell ref="K2:K3"/>
    <mergeCell ref="L2:L3"/>
    <mergeCell ref="M2:M3"/>
    <mergeCell ref="G2:G3"/>
    <mergeCell ref="A2:B3"/>
    <mergeCell ref="C2:C3"/>
    <mergeCell ref="D2:D3"/>
    <mergeCell ref="E2:E3"/>
    <mergeCell ref="F2:F3"/>
  </mergeCells>
  <pageMargins left="0.55000000000000004" right="0.31" top="0.45" bottom="0.37" header="0.3" footer="0.3"/>
  <pageSetup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7"/>
  <dimension ref="A1:S47"/>
  <sheetViews>
    <sheetView workbookViewId="0">
      <pane ySplit="3" topLeftCell="A4" activePane="bottomLeft" state="frozen"/>
      <selection pane="bottomLeft" activeCell="J44" sqref="J44"/>
    </sheetView>
  </sheetViews>
  <sheetFormatPr defaultColWidth="11.42578125" defaultRowHeight="15"/>
  <cols>
    <col min="1" max="1" width="3.28515625" customWidth="1"/>
    <col min="2" max="2" width="45.140625" bestFit="1" customWidth="1"/>
    <col min="3" max="13" width="4.85546875" customWidth="1"/>
    <col min="14" max="14" width="7.85546875" customWidth="1"/>
    <col min="15" max="15" width="1.85546875" customWidth="1"/>
    <col min="16" max="16" width="7.42578125" customWidth="1"/>
    <col min="17" max="17" width="5.7109375" customWidth="1"/>
    <col min="18" max="18" width="8" customWidth="1"/>
  </cols>
  <sheetData>
    <row r="1" spans="1:19" ht="12" customHeight="1" thickBot="1">
      <c r="A1" s="18"/>
      <c r="B1" s="18"/>
      <c r="C1" s="18"/>
      <c r="D1" s="18"/>
      <c r="E1" s="18"/>
      <c r="F1" s="18"/>
      <c r="G1" s="18"/>
      <c r="H1" s="18"/>
      <c r="I1" s="18"/>
      <c r="J1" s="18"/>
      <c r="K1" s="18"/>
      <c r="L1" s="18"/>
      <c r="M1" s="18"/>
      <c r="N1" s="18"/>
    </row>
    <row r="2" spans="1:19" ht="26.25" customHeight="1">
      <c r="A2" s="242" t="str">
        <f>NOMINA!$B$2</f>
        <v>CURSO 2A</v>
      </c>
      <c r="B2" s="243"/>
      <c r="C2" s="246" t="s">
        <v>15</v>
      </c>
      <c r="D2" s="240" t="s">
        <v>16</v>
      </c>
      <c r="E2" s="240" t="s">
        <v>56</v>
      </c>
      <c r="F2" s="240" t="s">
        <v>23</v>
      </c>
      <c r="G2" s="240" t="s">
        <v>18</v>
      </c>
      <c r="H2" s="240" t="s">
        <v>40</v>
      </c>
      <c r="I2" s="240" t="s">
        <v>14</v>
      </c>
      <c r="J2" s="240" t="s">
        <v>104</v>
      </c>
      <c r="K2" s="240" t="s">
        <v>48</v>
      </c>
      <c r="L2" s="240" t="s">
        <v>57</v>
      </c>
      <c r="M2" s="251" t="s">
        <v>19</v>
      </c>
      <c r="N2" s="336" t="s">
        <v>73</v>
      </c>
      <c r="P2" s="338" t="s">
        <v>91</v>
      </c>
    </row>
    <row r="3" spans="1:19" ht="21.75" customHeight="1" thickBot="1">
      <c r="A3" s="244"/>
      <c r="B3" s="245"/>
      <c r="C3" s="247"/>
      <c r="D3" s="334"/>
      <c r="E3" s="334"/>
      <c r="F3" s="334"/>
      <c r="G3" s="334"/>
      <c r="H3" s="334"/>
      <c r="I3" s="334"/>
      <c r="J3" s="334"/>
      <c r="K3" s="334"/>
      <c r="L3" s="334"/>
      <c r="M3" s="335"/>
      <c r="N3" s="337"/>
      <c r="P3" s="339"/>
    </row>
    <row r="4" spans="1:19" ht="18.75">
      <c r="A4" s="60">
        <f>NOMINA!A6</f>
        <v>1</v>
      </c>
      <c r="B4" s="196" t="str">
        <f>NOMINA!B6</f>
        <v>ABREU MARRERO LIZ DANIELA</v>
      </c>
      <c r="C4" s="138" t="str">
        <f>IF(GRAL.!D5&lt;51,GRAL.!D5," ")</f>
        <v xml:space="preserve"> </v>
      </c>
      <c r="D4" s="119" t="str">
        <f>IF(GRAL.!G5&lt;51,GRAL.!G5," ")</f>
        <v xml:space="preserve"> </v>
      </c>
      <c r="E4" s="119" t="str">
        <f>IF(GRAL.!J5&lt;51,GRAL.!J5," ")</f>
        <v xml:space="preserve"> </v>
      </c>
      <c r="F4" s="119" t="str">
        <f>IF(GRAL.!M5&lt;51,GRAL.!M5," ")</f>
        <v xml:space="preserve"> </v>
      </c>
      <c r="G4" s="119" t="str">
        <f>IF(GRAL.!P5&lt;51,GRAL.!P5," ")</f>
        <v xml:space="preserve"> </v>
      </c>
      <c r="H4" s="119" t="str">
        <f>IF(GRAL.!S5&lt;51,GRAL.!S5," ")</f>
        <v xml:space="preserve"> </v>
      </c>
      <c r="I4" s="119" t="str">
        <f>IF(GRAL.!V5&lt;51,GRAL.!V5," ")</f>
        <v xml:space="preserve"> </v>
      </c>
      <c r="J4" s="119" t="str">
        <f>IF(GRAL.!Y5&lt;51,GRAL.!Y5," ")</f>
        <v xml:space="preserve"> </v>
      </c>
      <c r="K4" s="119" t="str">
        <f>IF(GRAL.!AB5&lt;51,GRAL.!AB5," ")</f>
        <v xml:space="preserve"> </v>
      </c>
      <c r="L4" s="119" t="str">
        <f>IF(GRAL.!AE5&lt;51,GRAL.!AE5," ")</f>
        <v xml:space="preserve"> </v>
      </c>
      <c r="M4" s="121" t="str">
        <f>IF(GRAL.!AH5&lt;51,GRAL.!AH5," ")</f>
        <v xml:space="preserve"> </v>
      </c>
      <c r="N4" s="122" t="str">
        <f t="shared" ref="N4" si="0">IF(COUNT(C4:M4)=0," ",COUNT(C4:M4))</f>
        <v xml:space="preserve"> </v>
      </c>
      <c r="P4" s="140" t="str">
        <f>'REP 1°'!N4</f>
        <v xml:space="preserve"> </v>
      </c>
    </row>
    <row r="5" spans="1:19" ht="18.75">
      <c r="A5" s="60">
        <f>NOMINA!A7</f>
        <v>2</v>
      </c>
      <c r="B5" s="196" t="str">
        <f>NOMINA!B7</f>
        <v>ALIAGA SAAVEDRA MARCU MAURICIO</v>
      </c>
      <c r="C5" s="138" t="str">
        <f>IF(GRAL.!D6&lt;51,GRAL.!D6," ")</f>
        <v xml:space="preserve"> </v>
      </c>
      <c r="D5" s="119" t="str">
        <f>IF(GRAL.!G6&lt;51,GRAL.!G6," ")</f>
        <v xml:space="preserve"> </v>
      </c>
      <c r="E5" s="119" t="str">
        <f>IF(GRAL.!J6&lt;51,GRAL.!J6," ")</f>
        <v xml:space="preserve"> </v>
      </c>
      <c r="F5" s="119" t="str">
        <f>IF(GRAL.!M6&lt;51,GRAL.!M6," ")</f>
        <v xml:space="preserve"> </v>
      </c>
      <c r="G5" s="119" t="str">
        <f>IF(GRAL.!P6&lt;51,GRAL.!P6," ")</f>
        <v xml:space="preserve"> </v>
      </c>
      <c r="H5" s="119" t="str">
        <f>IF(GRAL.!S6&lt;51,GRAL.!S6," ")</f>
        <v xml:space="preserve"> </v>
      </c>
      <c r="I5" s="119" t="str">
        <f>IF(GRAL.!V6&lt;51,GRAL.!V6," ")</f>
        <v xml:space="preserve"> </v>
      </c>
      <c r="J5" s="119" t="str">
        <f>IF(GRAL.!Y6&lt;51,GRAL.!Y6," ")</f>
        <v xml:space="preserve"> </v>
      </c>
      <c r="K5" s="119" t="str">
        <f>IF(GRAL.!AB6&lt;51,GRAL.!AB6," ")</f>
        <v xml:space="preserve"> </v>
      </c>
      <c r="L5" s="119" t="str">
        <f>IF(GRAL.!AE6&lt;51,GRAL.!AE6," ")</f>
        <v xml:space="preserve"> </v>
      </c>
      <c r="M5" s="121" t="str">
        <f>IF(GRAL.!AH6&lt;51,GRAL.!AH6," ")</f>
        <v xml:space="preserve"> </v>
      </c>
      <c r="N5" s="122" t="str">
        <f t="shared" ref="N5:N44" si="1">IF(COUNT(C5:M5)=0," ",COUNT(C5:M5))</f>
        <v xml:space="preserve"> </v>
      </c>
      <c r="P5" s="140" t="str">
        <f>'REP 1°'!N5</f>
        <v xml:space="preserve"> </v>
      </c>
    </row>
    <row r="6" spans="1:19" ht="18.75">
      <c r="A6" s="60">
        <f>NOMINA!A8</f>
        <v>3</v>
      </c>
      <c r="B6" s="196" t="str">
        <f>NOMINA!B8</f>
        <v>ANTEZANA CACHI JOSE MAXWEL</v>
      </c>
      <c r="C6" s="138" t="str">
        <f>IF(GRAL.!D7&lt;51,GRAL.!D7," ")</f>
        <v xml:space="preserve"> </v>
      </c>
      <c r="D6" s="119" t="str">
        <f>IF(GRAL.!G7&lt;51,GRAL.!G7," ")</f>
        <v xml:space="preserve"> </v>
      </c>
      <c r="E6" s="119" t="str">
        <f>IF(GRAL.!J7&lt;51,GRAL.!J7," ")</f>
        <v xml:space="preserve"> </v>
      </c>
      <c r="F6" s="119" t="str">
        <f>IF(GRAL.!M7&lt;51,GRAL.!M7," ")</f>
        <v xml:space="preserve"> </v>
      </c>
      <c r="G6" s="119" t="str">
        <f>IF(GRAL.!P7&lt;51,GRAL.!P7," ")</f>
        <v xml:space="preserve"> </v>
      </c>
      <c r="H6" s="119" t="str">
        <f>IF(GRAL.!S7&lt;51,GRAL.!S7," ")</f>
        <v xml:space="preserve"> </v>
      </c>
      <c r="I6" s="119" t="str">
        <f>IF(GRAL.!V7&lt;51,GRAL.!V7," ")</f>
        <v xml:space="preserve"> </v>
      </c>
      <c r="J6" s="119" t="str">
        <f>IF(GRAL.!Y7&lt;51,GRAL.!Y7," ")</f>
        <v xml:space="preserve"> </v>
      </c>
      <c r="K6" s="119" t="str">
        <f>IF(GRAL.!AB7&lt;51,GRAL.!AB7," ")</f>
        <v xml:space="preserve"> </v>
      </c>
      <c r="L6" s="119" t="str">
        <f>IF(GRAL.!AE7&lt;51,GRAL.!AE7," ")</f>
        <v xml:space="preserve"> </v>
      </c>
      <c r="M6" s="121" t="str">
        <f>IF(GRAL.!AH7&lt;51,GRAL.!AH7," ")</f>
        <v xml:space="preserve"> </v>
      </c>
      <c r="N6" s="122" t="str">
        <f t="shared" si="1"/>
        <v xml:space="preserve"> </v>
      </c>
      <c r="P6" s="140" t="str">
        <f>'REP 1°'!N6</f>
        <v xml:space="preserve"> </v>
      </c>
      <c r="R6" s="250" t="s">
        <v>69</v>
      </c>
      <c r="S6" s="250"/>
    </row>
    <row r="7" spans="1:19" ht="18.75">
      <c r="A7" s="60">
        <f>NOMINA!A9</f>
        <v>4</v>
      </c>
      <c r="B7" s="196" t="str">
        <f>NOMINA!B9</f>
        <v>ARIZACA SALGUERO SANTIAGO</v>
      </c>
      <c r="C7" s="138" t="str">
        <f>IF(GRAL.!D8&lt;51,GRAL.!D8," ")</f>
        <v xml:space="preserve"> </v>
      </c>
      <c r="D7" s="119" t="str">
        <f>IF(GRAL.!G8&lt;51,GRAL.!G8," ")</f>
        <v xml:space="preserve"> </v>
      </c>
      <c r="E7" s="119" t="str">
        <f>IF(GRAL.!J8&lt;51,GRAL.!J8," ")</f>
        <v xml:space="preserve"> </v>
      </c>
      <c r="F7" s="119" t="str">
        <f>IF(GRAL.!M8&lt;51,GRAL.!M8," ")</f>
        <v xml:space="preserve"> </v>
      </c>
      <c r="G7" s="119" t="str">
        <f>IF(GRAL.!P8&lt;51,GRAL.!P8," ")</f>
        <v xml:space="preserve"> </v>
      </c>
      <c r="H7" s="119" t="str">
        <f>IF(GRAL.!S8&lt;51,GRAL.!S8," ")</f>
        <v xml:space="preserve"> </v>
      </c>
      <c r="I7" s="119" t="str">
        <f>IF(GRAL.!V8&lt;51,GRAL.!V8," ")</f>
        <v xml:space="preserve"> </v>
      </c>
      <c r="J7" s="119" t="str">
        <f>IF(GRAL.!Y8&lt;51,GRAL.!Y8," ")</f>
        <v xml:space="preserve"> </v>
      </c>
      <c r="K7" s="119" t="str">
        <f>IF(GRAL.!AB8&lt;51,GRAL.!AB8," ")</f>
        <v xml:space="preserve"> </v>
      </c>
      <c r="L7" s="119" t="str">
        <f>IF(GRAL.!AE8&lt;51,GRAL.!AE8," ")</f>
        <v xml:space="preserve"> </v>
      </c>
      <c r="M7" s="121" t="str">
        <f>IF(GRAL.!AH8&lt;51,GRAL.!AH8," ")</f>
        <v xml:space="preserve"> </v>
      </c>
      <c r="N7" s="122" t="str">
        <f t="shared" si="1"/>
        <v xml:space="preserve"> </v>
      </c>
      <c r="P7" s="140">
        <f>'REP 1°'!N7</f>
        <v>2</v>
      </c>
    </row>
    <row r="8" spans="1:19" ht="18.75">
      <c r="A8" s="60">
        <f>NOMINA!A10</f>
        <v>5</v>
      </c>
      <c r="B8" s="196" t="str">
        <f>NOMINA!B10</f>
        <v>BAUTISTA GARCIA ALISON LUCIANA</v>
      </c>
      <c r="C8" s="138" t="str">
        <f>IF(GRAL.!D9&lt;51,GRAL.!D9," ")</f>
        <v xml:space="preserve"> </v>
      </c>
      <c r="D8" s="119" t="str">
        <f>IF(GRAL.!G9&lt;51,GRAL.!G9," ")</f>
        <v xml:space="preserve"> </v>
      </c>
      <c r="E8" s="119" t="str">
        <f>IF(GRAL.!J9&lt;51,GRAL.!J9," ")</f>
        <v xml:space="preserve"> </v>
      </c>
      <c r="F8" s="119" t="str">
        <f>IF(GRAL.!M9&lt;51,GRAL.!M9," ")</f>
        <v xml:space="preserve"> </v>
      </c>
      <c r="G8" s="119" t="str">
        <f>IF(GRAL.!P9&lt;51,GRAL.!P9," ")</f>
        <v xml:space="preserve"> </v>
      </c>
      <c r="H8" s="119" t="str">
        <f>IF(GRAL.!S9&lt;51,GRAL.!S9," ")</f>
        <v xml:space="preserve"> </v>
      </c>
      <c r="I8" s="119" t="str">
        <f>IF(GRAL.!V9&lt;51,GRAL.!V9," ")</f>
        <v xml:space="preserve"> </v>
      </c>
      <c r="J8" s="119" t="str">
        <f>IF(GRAL.!Y9&lt;51,GRAL.!Y9," ")</f>
        <v xml:space="preserve"> </v>
      </c>
      <c r="K8" s="119" t="str">
        <f>IF(GRAL.!AB9&lt;51,GRAL.!AB9," ")</f>
        <v xml:space="preserve"> </v>
      </c>
      <c r="L8" s="119" t="str">
        <f>IF(GRAL.!AE9&lt;51,GRAL.!AE9," ")</f>
        <v xml:space="preserve"> </v>
      </c>
      <c r="M8" s="121" t="str">
        <f>IF(GRAL.!AH9&lt;51,GRAL.!AH9," ")</f>
        <v xml:space="preserve"> </v>
      </c>
      <c r="N8" s="122" t="str">
        <f t="shared" si="1"/>
        <v xml:space="preserve"> </v>
      </c>
      <c r="P8" s="140" t="str">
        <f>'REP 1°'!N8</f>
        <v xml:space="preserve"> </v>
      </c>
    </row>
    <row r="9" spans="1:19" ht="18.75">
      <c r="A9" s="60">
        <f>NOMINA!A11</f>
        <v>6</v>
      </c>
      <c r="B9" s="196" t="str">
        <f>NOMINA!B11</f>
        <v>BOLIVAR REVOLLO NIVARDO ADOLFO</v>
      </c>
      <c r="C9" s="138" t="str">
        <f>IF(GRAL.!D10&lt;51,GRAL.!D10," ")</f>
        <v xml:space="preserve"> </v>
      </c>
      <c r="D9" s="119" t="str">
        <f>IF(GRAL.!G10&lt;51,GRAL.!G10," ")</f>
        <v xml:space="preserve"> </v>
      </c>
      <c r="E9" s="119" t="str">
        <f>IF(GRAL.!J10&lt;51,GRAL.!J10," ")</f>
        <v xml:space="preserve"> </v>
      </c>
      <c r="F9" s="119" t="str">
        <f>IF(GRAL.!M10&lt;51,GRAL.!M10," ")</f>
        <v xml:space="preserve"> </v>
      </c>
      <c r="G9" s="119" t="str">
        <f>IF(GRAL.!P10&lt;51,GRAL.!P10," ")</f>
        <v xml:space="preserve"> </v>
      </c>
      <c r="H9" s="119" t="str">
        <f>IF(GRAL.!S10&lt;51,GRAL.!S10," ")</f>
        <v xml:space="preserve"> </v>
      </c>
      <c r="I9" s="119" t="str">
        <f>IF(GRAL.!V10&lt;51,GRAL.!V10," ")</f>
        <v xml:space="preserve"> </v>
      </c>
      <c r="J9" s="119" t="str">
        <f>IF(GRAL.!Y10&lt;51,GRAL.!Y10," ")</f>
        <v xml:space="preserve"> </v>
      </c>
      <c r="K9" s="119" t="str">
        <f>IF(GRAL.!AB10&lt;51,GRAL.!AB10," ")</f>
        <v xml:space="preserve"> </v>
      </c>
      <c r="L9" s="119" t="str">
        <f>IF(GRAL.!AE10&lt;51,GRAL.!AE10," ")</f>
        <v xml:space="preserve"> </v>
      </c>
      <c r="M9" s="121" t="str">
        <f>IF(GRAL.!AH10&lt;51,GRAL.!AH10," ")</f>
        <v xml:space="preserve"> </v>
      </c>
      <c r="N9" s="122" t="str">
        <f t="shared" si="1"/>
        <v xml:space="preserve"> </v>
      </c>
      <c r="P9" s="140">
        <f>'REP 1°'!N9</f>
        <v>2</v>
      </c>
    </row>
    <row r="10" spans="1:19" ht="18.75">
      <c r="A10" s="60">
        <f>NOMINA!A12</f>
        <v>7</v>
      </c>
      <c r="B10" s="196" t="str">
        <f>NOMINA!B12</f>
        <v>CADIMA SOLIZ NICOLAS</v>
      </c>
      <c r="C10" s="138" t="str">
        <f>IF(GRAL.!D11&lt;51,GRAL.!D11," ")</f>
        <v xml:space="preserve"> </v>
      </c>
      <c r="D10" s="119" t="str">
        <f>IF(GRAL.!G11&lt;51,GRAL.!G11," ")</f>
        <v xml:space="preserve"> </v>
      </c>
      <c r="E10" s="119" t="str">
        <f>IF(GRAL.!J11&lt;51,GRAL.!J11," ")</f>
        <v xml:space="preserve"> </v>
      </c>
      <c r="F10" s="119" t="str">
        <f>IF(GRAL.!M11&lt;51,GRAL.!M11," ")</f>
        <v xml:space="preserve"> </v>
      </c>
      <c r="G10" s="119" t="str">
        <f>IF(GRAL.!P11&lt;51,GRAL.!P11," ")</f>
        <v xml:space="preserve"> </v>
      </c>
      <c r="H10" s="119" t="str">
        <f>IF(GRAL.!S11&lt;51,GRAL.!S11," ")</f>
        <v xml:space="preserve"> </v>
      </c>
      <c r="I10" s="119" t="str">
        <f>IF(GRAL.!V11&lt;51,GRAL.!V11," ")</f>
        <v xml:space="preserve"> </v>
      </c>
      <c r="J10" s="119" t="str">
        <f>IF(GRAL.!Y11&lt;51,GRAL.!Y11," ")</f>
        <v xml:space="preserve"> </v>
      </c>
      <c r="K10" s="119" t="str">
        <f>IF(GRAL.!AB11&lt;51,GRAL.!AB11," ")</f>
        <v xml:space="preserve"> </v>
      </c>
      <c r="L10" s="119" t="str">
        <f>IF(GRAL.!AE11&lt;51,GRAL.!AE11," ")</f>
        <v xml:space="preserve"> </v>
      </c>
      <c r="M10" s="121" t="str">
        <f>IF(GRAL.!AH11&lt;51,GRAL.!AH11," ")</f>
        <v xml:space="preserve"> </v>
      </c>
      <c r="N10" s="122" t="str">
        <f t="shared" si="1"/>
        <v xml:space="preserve"> </v>
      </c>
      <c r="P10" s="140">
        <f>'REP 1°'!N10</f>
        <v>4</v>
      </c>
    </row>
    <row r="11" spans="1:19" ht="18.75">
      <c r="A11" s="60">
        <f>NOMINA!A13</f>
        <v>8</v>
      </c>
      <c r="B11" s="196" t="str">
        <f>NOMINA!B13</f>
        <v>CALLE PEREZ ANDREA BELEN</v>
      </c>
      <c r="C11" s="138" t="str">
        <f>IF(GRAL.!D12&lt;51,GRAL.!D12," ")</f>
        <v xml:space="preserve"> </v>
      </c>
      <c r="D11" s="119" t="str">
        <f>IF(GRAL.!G12&lt;51,GRAL.!G12," ")</f>
        <v xml:space="preserve"> </v>
      </c>
      <c r="E11" s="119" t="str">
        <f>IF(GRAL.!J12&lt;51,GRAL.!J12," ")</f>
        <v xml:space="preserve"> </v>
      </c>
      <c r="F11" s="119" t="str">
        <f>IF(GRAL.!M12&lt;51,GRAL.!M12," ")</f>
        <v xml:space="preserve"> </v>
      </c>
      <c r="G11" s="119" t="str">
        <f>IF(GRAL.!P12&lt;51,GRAL.!P12," ")</f>
        <v xml:space="preserve"> </v>
      </c>
      <c r="H11" s="119" t="str">
        <f>IF(GRAL.!S12&lt;51,GRAL.!S12," ")</f>
        <v xml:space="preserve"> </v>
      </c>
      <c r="I11" s="119" t="str">
        <f>IF(GRAL.!V12&lt;51,GRAL.!V12," ")</f>
        <v xml:space="preserve"> </v>
      </c>
      <c r="J11" s="119" t="str">
        <f>IF(GRAL.!Y12&lt;51,GRAL.!Y12," ")</f>
        <v xml:space="preserve"> </v>
      </c>
      <c r="K11" s="119" t="str">
        <f>IF(GRAL.!AB12&lt;51,GRAL.!AB12," ")</f>
        <v xml:space="preserve"> </v>
      </c>
      <c r="L11" s="119" t="str">
        <f>IF(GRAL.!AE12&lt;51,GRAL.!AE12," ")</f>
        <v xml:space="preserve"> </v>
      </c>
      <c r="M11" s="121" t="str">
        <f>IF(GRAL.!AH12&lt;51,GRAL.!AH12," ")</f>
        <v xml:space="preserve"> </v>
      </c>
      <c r="N11" s="122" t="str">
        <f t="shared" si="1"/>
        <v xml:space="preserve"> </v>
      </c>
      <c r="P11" s="140" t="str">
        <f>'REP 1°'!N11</f>
        <v xml:space="preserve"> </v>
      </c>
    </row>
    <row r="12" spans="1:19" ht="18.75">
      <c r="A12" s="60">
        <f>NOMINA!A14</f>
        <v>9</v>
      </c>
      <c r="B12" s="196" t="str">
        <f>NOMINA!B14</f>
        <v>CHAVEZ AMURRIO SEBASTIAN FABIAN</v>
      </c>
      <c r="C12" s="138" t="str">
        <f>IF(GRAL.!D13&lt;51,GRAL.!D13," ")</f>
        <v xml:space="preserve"> </v>
      </c>
      <c r="D12" s="119" t="str">
        <f>IF(GRAL.!G13&lt;51,GRAL.!G13," ")</f>
        <v xml:space="preserve"> </v>
      </c>
      <c r="E12" s="119" t="str">
        <f>IF(GRAL.!J13&lt;51,GRAL.!J13," ")</f>
        <v xml:space="preserve"> </v>
      </c>
      <c r="F12" s="119" t="str">
        <f>IF(GRAL.!M13&lt;51,GRAL.!M13," ")</f>
        <v xml:space="preserve"> </v>
      </c>
      <c r="G12" s="119" t="str">
        <f>IF(GRAL.!P13&lt;51,GRAL.!P13," ")</f>
        <v xml:space="preserve"> </v>
      </c>
      <c r="H12" s="119" t="str">
        <f>IF(GRAL.!S13&lt;51,GRAL.!S13," ")</f>
        <v xml:space="preserve"> </v>
      </c>
      <c r="I12" s="119" t="str">
        <f>IF(GRAL.!V13&lt;51,GRAL.!V13," ")</f>
        <v xml:space="preserve"> </v>
      </c>
      <c r="J12" s="119" t="str">
        <f>IF(GRAL.!Y13&lt;51,GRAL.!Y13," ")</f>
        <v xml:space="preserve"> </v>
      </c>
      <c r="K12" s="119" t="str">
        <f>IF(GRAL.!AB13&lt;51,GRAL.!AB13," ")</f>
        <v xml:space="preserve"> </v>
      </c>
      <c r="L12" s="119" t="str">
        <f>IF(GRAL.!AE13&lt;51,GRAL.!AE13," ")</f>
        <v xml:space="preserve"> </v>
      </c>
      <c r="M12" s="121" t="str">
        <f>IF(GRAL.!AH13&lt;51,GRAL.!AH13," ")</f>
        <v xml:space="preserve"> </v>
      </c>
      <c r="N12" s="122" t="str">
        <f t="shared" si="1"/>
        <v xml:space="preserve"> </v>
      </c>
      <c r="P12" s="140">
        <f>'REP 1°'!N12</f>
        <v>7</v>
      </c>
    </row>
    <row r="13" spans="1:19" ht="18.75">
      <c r="A13" s="60">
        <f>NOMINA!A15</f>
        <v>10</v>
      </c>
      <c r="B13" s="196" t="str">
        <f>NOMINA!B15</f>
        <v>CHOQUE ARISPE YURIANA LUCIA</v>
      </c>
      <c r="C13" s="138" t="str">
        <f>IF(GRAL.!D14&lt;51,GRAL.!D14," ")</f>
        <v xml:space="preserve"> </v>
      </c>
      <c r="D13" s="119" t="str">
        <f>IF(GRAL.!G14&lt;51,GRAL.!G14," ")</f>
        <v xml:space="preserve"> </v>
      </c>
      <c r="E13" s="119" t="str">
        <f>IF(GRAL.!J14&lt;51,GRAL.!J14," ")</f>
        <v xml:space="preserve"> </v>
      </c>
      <c r="F13" s="119" t="str">
        <f>IF(GRAL.!M14&lt;51,GRAL.!M14," ")</f>
        <v xml:space="preserve"> </v>
      </c>
      <c r="G13" s="119" t="str">
        <f>IF(GRAL.!P14&lt;51,GRAL.!P14," ")</f>
        <v xml:space="preserve"> </v>
      </c>
      <c r="H13" s="119" t="str">
        <f>IF(GRAL.!S14&lt;51,GRAL.!S14," ")</f>
        <v xml:space="preserve"> </v>
      </c>
      <c r="I13" s="119" t="str">
        <f>IF(GRAL.!V14&lt;51,GRAL.!V14," ")</f>
        <v xml:space="preserve"> </v>
      </c>
      <c r="J13" s="119" t="str">
        <f>IF(GRAL.!Y14&lt;51,GRAL.!Y14," ")</f>
        <v xml:space="preserve"> </v>
      </c>
      <c r="K13" s="119" t="str">
        <f>IF(GRAL.!AB14&lt;51,GRAL.!AB14," ")</f>
        <v xml:space="preserve"> </v>
      </c>
      <c r="L13" s="119" t="str">
        <f>IF(GRAL.!AE14&lt;51,GRAL.!AE14," ")</f>
        <v xml:space="preserve"> </v>
      </c>
      <c r="M13" s="121" t="str">
        <f>IF(GRAL.!AH14&lt;51,GRAL.!AH14," ")</f>
        <v xml:space="preserve"> </v>
      </c>
      <c r="N13" s="122" t="str">
        <f t="shared" si="1"/>
        <v xml:space="preserve"> </v>
      </c>
      <c r="P13" s="140">
        <f>'REP 1°'!N13</f>
        <v>1</v>
      </c>
    </row>
    <row r="14" spans="1:19" ht="18.75">
      <c r="A14" s="60">
        <f>NOMINA!A16</f>
        <v>11</v>
      </c>
      <c r="B14" s="196" t="str">
        <f>NOMINA!B16</f>
        <v>CHOQUE PERALTA JHOEL ELIAZAR</v>
      </c>
      <c r="C14" s="138" t="str">
        <f>IF(GRAL.!D15&lt;51,GRAL.!D15," ")</f>
        <v xml:space="preserve"> </v>
      </c>
      <c r="D14" s="119" t="str">
        <f>IF(GRAL.!G15&lt;51,GRAL.!G15," ")</f>
        <v xml:space="preserve"> </v>
      </c>
      <c r="E14" s="119" t="str">
        <f>IF(GRAL.!J15&lt;51,GRAL.!J15," ")</f>
        <v xml:space="preserve"> </v>
      </c>
      <c r="F14" s="119" t="str">
        <f>IF(GRAL.!M15&lt;51,GRAL.!M15," ")</f>
        <v xml:space="preserve"> </v>
      </c>
      <c r="G14" s="119" t="str">
        <f>IF(GRAL.!P15&lt;51,GRAL.!P15," ")</f>
        <v xml:space="preserve"> </v>
      </c>
      <c r="H14" s="119" t="str">
        <f>IF(GRAL.!S15&lt;51,GRAL.!S15," ")</f>
        <v xml:space="preserve"> </v>
      </c>
      <c r="I14" s="119" t="str">
        <f>IF(GRAL.!V15&lt;51,GRAL.!V15," ")</f>
        <v xml:space="preserve"> </v>
      </c>
      <c r="J14" s="119" t="str">
        <f>IF(GRAL.!Y15&lt;51,GRAL.!Y15," ")</f>
        <v xml:space="preserve"> </v>
      </c>
      <c r="K14" s="119" t="str">
        <f>IF(GRAL.!AB15&lt;51,GRAL.!AB15," ")</f>
        <v xml:space="preserve"> </v>
      </c>
      <c r="L14" s="119" t="str">
        <f>IF(GRAL.!AE15&lt;51,GRAL.!AE15," ")</f>
        <v xml:space="preserve"> </v>
      </c>
      <c r="M14" s="121" t="str">
        <f>IF(GRAL.!AH15&lt;51,GRAL.!AH15," ")</f>
        <v xml:space="preserve"> </v>
      </c>
      <c r="N14" s="122" t="str">
        <f t="shared" si="1"/>
        <v xml:space="preserve"> </v>
      </c>
      <c r="P14" s="140" t="str">
        <f>'REP 1°'!N14</f>
        <v xml:space="preserve"> </v>
      </c>
    </row>
    <row r="15" spans="1:19" ht="18" customHeight="1">
      <c r="A15" s="60">
        <f>NOMINA!A17</f>
        <v>12</v>
      </c>
      <c r="B15" s="196" t="str">
        <f>NOMINA!B17</f>
        <v>COPA RIVERO MARCIA MARCELA</v>
      </c>
      <c r="C15" s="138" t="str">
        <f>IF(GRAL.!D16&lt;51,GRAL.!D16," ")</f>
        <v xml:space="preserve"> </v>
      </c>
      <c r="D15" s="119" t="str">
        <f>IF(GRAL.!G16&lt;51,GRAL.!G16," ")</f>
        <v xml:space="preserve"> </v>
      </c>
      <c r="E15" s="119" t="str">
        <f>IF(GRAL.!J16&lt;51,GRAL.!J16," ")</f>
        <v xml:space="preserve"> </v>
      </c>
      <c r="F15" s="119" t="str">
        <f>IF(GRAL.!M16&lt;51,GRAL.!M16," ")</f>
        <v xml:space="preserve"> </v>
      </c>
      <c r="G15" s="119" t="str">
        <f>IF(GRAL.!P16&lt;51,GRAL.!P16," ")</f>
        <v xml:space="preserve"> </v>
      </c>
      <c r="H15" s="119" t="str">
        <f>IF(GRAL.!S16&lt;51,GRAL.!S16," ")</f>
        <v xml:space="preserve"> </v>
      </c>
      <c r="I15" s="119" t="str">
        <f>IF(GRAL.!V16&lt;51,GRAL.!V16," ")</f>
        <v xml:space="preserve"> </v>
      </c>
      <c r="J15" s="119" t="str">
        <f>IF(GRAL.!Y16&lt;51,GRAL.!Y16," ")</f>
        <v xml:space="preserve"> </v>
      </c>
      <c r="K15" s="119" t="str">
        <f>IF(GRAL.!AB16&lt;51,GRAL.!AB16," ")</f>
        <v xml:space="preserve"> </v>
      </c>
      <c r="L15" s="119" t="str">
        <f>IF(GRAL.!AE16&lt;51,GRAL.!AE16," ")</f>
        <v xml:space="preserve"> </v>
      </c>
      <c r="M15" s="121" t="str">
        <f>IF(GRAL.!AH16&lt;51,GRAL.!AH16," ")</f>
        <v xml:space="preserve"> </v>
      </c>
      <c r="N15" s="122" t="str">
        <f t="shared" si="1"/>
        <v xml:space="preserve"> </v>
      </c>
      <c r="P15" s="140">
        <f>'REP 1°'!N15</f>
        <v>1</v>
      </c>
    </row>
    <row r="16" spans="1:19" ht="18.75">
      <c r="A16" s="60">
        <f>NOMINA!A18</f>
        <v>13</v>
      </c>
      <c r="B16" s="196" t="str">
        <f>NOMINA!B18</f>
        <v>CORIA URUÑO CHRISTOPER GABRIEL</v>
      </c>
      <c r="C16" s="138" t="str">
        <f>IF(GRAL.!D17&lt;51,GRAL.!D17," ")</f>
        <v xml:space="preserve"> </v>
      </c>
      <c r="D16" s="119" t="str">
        <f>IF(GRAL.!G17&lt;51,GRAL.!G17," ")</f>
        <v xml:space="preserve"> </v>
      </c>
      <c r="E16" s="119" t="str">
        <f>IF(GRAL.!J17&lt;51,GRAL.!J17," ")</f>
        <v xml:space="preserve"> </v>
      </c>
      <c r="F16" s="119" t="str">
        <f>IF(GRAL.!M17&lt;51,GRAL.!M17," ")</f>
        <v xml:space="preserve"> </v>
      </c>
      <c r="G16" s="119" t="str">
        <f>IF(GRAL.!P17&lt;51,GRAL.!P17," ")</f>
        <v xml:space="preserve"> </v>
      </c>
      <c r="H16" s="119" t="str">
        <f>IF(GRAL.!S17&lt;51,GRAL.!S17," ")</f>
        <v xml:space="preserve"> </v>
      </c>
      <c r="I16" s="119" t="str">
        <f>IF(GRAL.!V17&lt;51,GRAL.!V17," ")</f>
        <v xml:space="preserve"> </v>
      </c>
      <c r="J16" s="119" t="str">
        <f>IF(GRAL.!Y17&lt;51,GRAL.!Y17," ")</f>
        <v xml:space="preserve"> </v>
      </c>
      <c r="K16" s="119" t="str">
        <f>IF(GRAL.!AB17&lt;51,GRAL.!AB17," ")</f>
        <v xml:space="preserve"> </v>
      </c>
      <c r="L16" s="119" t="str">
        <f>IF(GRAL.!AE17&lt;51,GRAL.!AE17," ")</f>
        <v xml:space="preserve"> </v>
      </c>
      <c r="M16" s="121" t="str">
        <f>IF(GRAL.!AH17&lt;51,GRAL.!AH17," ")</f>
        <v xml:space="preserve"> </v>
      </c>
      <c r="N16" s="122" t="str">
        <f t="shared" si="1"/>
        <v xml:space="preserve"> </v>
      </c>
      <c r="P16" s="140" t="str">
        <f>'REP 1°'!N16</f>
        <v xml:space="preserve"> </v>
      </c>
    </row>
    <row r="17" spans="1:16" ht="18.75">
      <c r="A17" s="60">
        <f>NOMINA!A19</f>
        <v>14</v>
      </c>
      <c r="B17" s="196" t="str">
        <f>NOMINA!B19</f>
        <v>FLORES BALLESTEROS LEANDRO FRANK</v>
      </c>
      <c r="C17" s="138" t="str">
        <f>IF(GRAL.!D18&lt;51,GRAL.!D18," ")</f>
        <v xml:space="preserve"> </v>
      </c>
      <c r="D17" s="119" t="str">
        <f>IF(GRAL.!G18&lt;51,GRAL.!G18," ")</f>
        <v xml:space="preserve"> </v>
      </c>
      <c r="E17" s="119" t="str">
        <f>IF(GRAL.!J18&lt;51,GRAL.!J18," ")</f>
        <v xml:space="preserve"> </v>
      </c>
      <c r="F17" s="119" t="str">
        <f>IF(GRAL.!M18&lt;51,GRAL.!M18," ")</f>
        <v xml:space="preserve"> </v>
      </c>
      <c r="G17" s="119" t="str">
        <f>IF(GRAL.!P18&lt;51,GRAL.!P18," ")</f>
        <v xml:space="preserve"> </v>
      </c>
      <c r="H17" s="119" t="str">
        <f>IF(GRAL.!S18&lt;51,GRAL.!S18," ")</f>
        <v xml:space="preserve"> </v>
      </c>
      <c r="I17" s="119" t="str">
        <f>IF(GRAL.!V18&lt;51,GRAL.!V18," ")</f>
        <v xml:space="preserve"> </v>
      </c>
      <c r="J17" s="119" t="str">
        <f>IF(GRAL.!Y18&lt;51,GRAL.!Y18," ")</f>
        <v xml:space="preserve"> </v>
      </c>
      <c r="K17" s="119" t="str">
        <f>IF(GRAL.!AB18&lt;51,GRAL.!AB18," ")</f>
        <v xml:space="preserve"> </v>
      </c>
      <c r="L17" s="119" t="str">
        <f>IF(GRAL.!AE18&lt;51,GRAL.!AE18," ")</f>
        <v xml:space="preserve"> </v>
      </c>
      <c r="M17" s="121" t="str">
        <f>IF(GRAL.!AH18&lt;51,GRAL.!AH18," ")</f>
        <v xml:space="preserve"> </v>
      </c>
      <c r="N17" s="122" t="str">
        <f t="shared" si="1"/>
        <v xml:space="preserve"> </v>
      </c>
      <c r="P17" s="140" t="str">
        <f>'REP 1°'!N17</f>
        <v xml:space="preserve"> </v>
      </c>
    </row>
    <row r="18" spans="1:16" ht="18.75">
      <c r="A18" s="60">
        <f>NOMINA!A20</f>
        <v>15</v>
      </c>
      <c r="B18" s="196" t="str">
        <f>NOMINA!B20</f>
        <v>GONZALES MOLINA ARIANET BELEN</v>
      </c>
      <c r="C18" s="138" t="str">
        <f>IF(GRAL.!D19&lt;51,GRAL.!D19," ")</f>
        <v xml:space="preserve"> </v>
      </c>
      <c r="D18" s="119" t="str">
        <f>IF(GRAL.!G19&lt;51,GRAL.!G19," ")</f>
        <v xml:space="preserve"> </v>
      </c>
      <c r="E18" s="119" t="str">
        <f>IF(GRAL.!J19&lt;51,GRAL.!J19," ")</f>
        <v xml:space="preserve"> </v>
      </c>
      <c r="F18" s="119" t="str">
        <f>IF(GRAL.!M19&lt;51,GRAL.!M19," ")</f>
        <v xml:space="preserve"> </v>
      </c>
      <c r="G18" s="119" t="str">
        <f>IF(GRAL.!P19&lt;51,GRAL.!P19," ")</f>
        <v xml:space="preserve"> </v>
      </c>
      <c r="H18" s="119" t="str">
        <f>IF(GRAL.!S19&lt;51,GRAL.!S19," ")</f>
        <v xml:space="preserve"> </v>
      </c>
      <c r="I18" s="119" t="str">
        <f>IF(GRAL.!V19&lt;51,GRAL.!V19," ")</f>
        <v xml:space="preserve"> </v>
      </c>
      <c r="J18" s="119" t="str">
        <f>IF(GRAL.!Y19&lt;51,GRAL.!Y19," ")</f>
        <v xml:space="preserve"> </v>
      </c>
      <c r="K18" s="119" t="str">
        <f>IF(GRAL.!AB19&lt;51,GRAL.!AB19," ")</f>
        <v xml:space="preserve"> </v>
      </c>
      <c r="L18" s="119" t="str">
        <f>IF(GRAL.!AE19&lt;51,GRAL.!AE19," ")</f>
        <v xml:space="preserve"> </v>
      </c>
      <c r="M18" s="121" t="str">
        <f>IF(GRAL.!AH19&lt;51,GRAL.!AH19," ")</f>
        <v xml:space="preserve"> </v>
      </c>
      <c r="N18" s="122" t="str">
        <f t="shared" si="1"/>
        <v xml:space="preserve"> </v>
      </c>
      <c r="P18" s="140" t="str">
        <f>'REP 1°'!N18</f>
        <v xml:space="preserve"> </v>
      </c>
    </row>
    <row r="19" spans="1:16" ht="18.75">
      <c r="A19" s="60">
        <f>NOMINA!A21</f>
        <v>16</v>
      </c>
      <c r="B19" s="196" t="str">
        <f>NOMINA!B21</f>
        <v>GUAQUIPA BECERRA NICOLAS ALEX</v>
      </c>
      <c r="C19" s="138" t="str">
        <f>IF(GRAL.!D20&lt;51,GRAL.!D20," ")</f>
        <v xml:space="preserve"> </v>
      </c>
      <c r="D19" s="119" t="str">
        <f>IF(GRAL.!G20&lt;51,GRAL.!G20," ")</f>
        <v xml:space="preserve"> </v>
      </c>
      <c r="E19" s="119" t="str">
        <f>IF(GRAL.!J20&lt;51,GRAL.!J20," ")</f>
        <v xml:space="preserve"> </v>
      </c>
      <c r="F19" s="119" t="str">
        <f>IF(GRAL.!M20&lt;51,GRAL.!M20," ")</f>
        <v xml:space="preserve"> </v>
      </c>
      <c r="G19" s="119" t="str">
        <f>IF(GRAL.!P20&lt;51,GRAL.!P20," ")</f>
        <v xml:space="preserve"> </v>
      </c>
      <c r="H19" s="119" t="str">
        <f>IF(GRAL.!S20&lt;51,GRAL.!S20," ")</f>
        <v xml:space="preserve"> </v>
      </c>
      <c r="I19" s="119" t="str">
        <f>IF(GRAL.!V20&lt;51,GRAL.!V20," ")</f>
        <v xml:space="preserve"> </v>
      </c>
      <c r="J19" s="119" t="str">
        <f>IF(GRAL.!Y20&lt;51,GRAL.!Y20," ")</f>
        <v xml:space="preserve"> </v>
      </c>
      <c r="K19" s="119" t="str">
        <f>IF(GRAL.!AB20&lt;51,GRAL.!AB20," ")</f>
        <v xml:space="preserve"> </v>
      </c>
      <c r="L19" s="119" t="str">
        <f>IF(GRAL.!AE20&lt;51,GRAL.!AE20," ")</f>
        <v xml:space="preserve"> </v>
      </c>
      <c r="M19" s="121" t="str">
        <f>IF(GRAL.!AH20&lt;51,GRAL.!AH20," ")</f>
        <v xml:space="preserve"> </v>
      </c>
      <c r="N19" s="122" t="str">
        <f t="shared" si="1"/>
        <v xml:space="preserve"> </v>
      </c>
      <c r="P19" s="140" t="str">
        <f>'REP 1°'!N19</f>
        <v xml:space="preserve"> </v>
      </c>
    </row>
    <row r="20" spans="1:16" ht="18.75">
      <c r="A20" s="60">
        <f>NOMINA!A22</f>
        <v>17</v>
      </c>
      <c r="B20" s="196" t="str">
        <f>NOMINA!B22</f>
        <v>HUANQUIRI MAMANI JHOSMAR</v>
      </c>
      <c r="C20" s="138" t="str">
        <f>IF(GRAL.!D21&lt;51,GRAL.!D21," ")</f>
        <v xml:space="preserve"> </v>
      </c>
      <c r="D20" s="119" t="str">
        <f>IF(GRAL.!G21&lt;51,GRAL.!G21," ")</f>
        <v xml:space="preserve"> </v>
      </c>
      <c r="E20" s="119" t="str">
        <f>IF(GRAL.!J21&lt;51,GRAL.!J21," ")</f>
        <v xml:space="preserve"> </v>
      </c>
      <c r="F20" s="119" t="str">
        <f>IF(GRAL.!M21&lt;51,GRAL.!M21," ")</f>
        <v xml:space="preserve"> </v>
      </c>
      <c r="G20" s="119" t="str">
        <f>IF(GRAL.!P21&lt;51,GRAL.!P21," ")</f>
        <v xml:space="preserve"> </v>
      </c>
      <c r="H20" s="119" t="str">
        <f>IF(GRAL.!S21&lt;51,GRAL.!S21," ")</f>
        <v xml:space="preserve"> </v>
      </c>
      <c r="I20" s="119" t="str">
        <f>IF(GRAL.!V21&lt;51,GRAL.!V21," ")</f>
        <v xml:space="preserve"> </v>
      </c>
      <c r="J20" s="119" t="str">
        <f>IF(GRAL.!Y21&lt;51,GRAL.!Y21," ")</f>
        <v xml:space="preserve"> </v>
      </c>
      <c r="K20" s="119" t="str">
        <f>IF(GRAL.!AB21&lt;51,GRAL.!AB21," ")</f>
        <v xml:space="preserve"> </v>
      </c>
      <c r="L20" s="119" t="str">
        <f>IF(GRAL.!AE21&lt;51,GRAL.!AE21," ")</f>
        <v xml:space="preserve"> </v>
      </c>
      <c r="M20" s="121" t="str">
        <f>IF(GRAL.!AH21&lt;51,GRAL.!AH21," ")</f>
        <v xml:space="preserve"> </v>
      </c>
      <c r="N20" s="122" t="str">
        <f t="shared" si="1"/>
        <v xml:space="preserve"> </v>
      </c>
      <c r="P20" s="140">
        <f>'REP 1°'!N20</f>
        <v>6</v>
      </c>
    </row>
    <row r="21" spans="1:16" ht="18.75">
      <c r="A21" s="60">
        <f>NOMINA!A23</f>
        <v>18</v>
      </c>
      <c r="B21" s="196" t="str">
        <f>NOMINA!B23</f>
        <v>JOVE ARNEZ ANDREA LUCIANA</v>
      </c>
      <c r="C21" s="138" t="str">
        <f>IF(GRAL.!D22&lt;51,GRAL.!D22," ")</f>
        <v xml:space="preserve"> </v>
      </c>
      <c r="D21" s="119" t="str">
        <f>IF(GRAL.!G22&lt;51,GRAL.!G22," ")</f>
        <v xml:space="preserve"> </v>
      </c>
      <c r="E21" s="119" t="str">
        <f>IF(GRAL.!J22&lt;51,GRAL.!J22," ")</f>
        <v xml:space="preserve"> </v>
      </c>
      <c r="F21" s="119" t="str">
        <f>IF(GRAL.!M22&lt;51,GRAL.!M22," ")</f>
        <v xml:space="preserve"> </v>
      </c>
      <c r="G21" s="119" t="str">
        <f>IF(GRAL.!P22&lt;51,GRAL.!P22," ")</f>
        <v xml:space="preserve"> </v>
      </c>
      <c r="H21" s="119" t="str">
        <f>IF(GRAL.!S22&lt;51,GRAL.!S22," ")</f>
        <v xml:space="preserve"> </v>
      </c>
      <c r="I21" s="119" t="str">
        <f>IF(GRAL.!V22&lt;51,GRAL.!V22," ")</f>
        <v xml:space="preserve"> </v>
      </c>
      <c r="J21" s="119" t="str">
        <f>IF(GRAL.!Y22&lt;51,GRAL.!Y22," ")</f>
        <v xml:space="preserve"> </v>
      </c>
      <c r="K21" s="119" t="str">
        <f>IF(GRAL.!AB22&lt;51,GRAL.!AB22," ")</f>
        <v xml:space="preserve"> </v>
      </c>
      <c r="L21" s="119" t="str">
        <f>IF(GRAL.!AE22&lt;51,GRAL.!AE22," ")</f>
        <v xml:space="preserve"> </v>
      </c>
      <c r="M21" s="121" t="str">
        <f>IF(GRAL.!AH22&lt;51,GRAL.!AH22," ")</f>
        <v xml:space="preserve"> </v>
      </c>
      <c r="N21" s="122" t="str">
        <f t="shared" si="1"/>
        <v xml:space="preserve"> </v>
      </c>
      <c r="P21" s="140">
        <f>'REP 1°'!N21</f>
        <v>3</v>
      </c>
    </row>
    <row r="22" spans="1:16" ht="18.75">
      <c r="A22" s="60">
        <f>NOMINA!A24</f>
        <v>19</v>
      </c>
      <c r="B22" s="196" t="str">
        <f>NOMINA!B24</f>
        <v>LAFUENTE ORTUÑO VICTORIA VALENTINA</v>
      </c>
      <c r="C22" s="138" t="str">
        <f>IF(GRAL.!D23&lt;51,GRAL.!D23," ")</f>
        <v xml:space="preserve"> </v>
      </c>
      <c r="D22" s="119" t="str">
        <f>IF(GRAL.!G23&lt;51,GRAL.!G23," ")</f>
        <v xml:space="preserve"> </v>
      </c>
      <c r="E22" s="119" t="str">
        <f>IF(GRAL.!J23&lt;51,GRAL.!J23," ")</f>
        <v xml:space="preserve"> </v>
      </c>
      <c r="F22" s="119" t="str">
        <f>IF(GRAL.!M23&lt;51,GRAL.!M23," ")</f>
        <v xml:space="preserve"> </v>
      </c>
      <c r="G22" s="119" t="str">
        <f>IF(GRAL.!P23&lt;51,GRAL.!P23," ")</f>
        <v xml:space="preserve"> </v>
      </c>
      <c r="H22" s="119" t="str">
        <f>IF(GRAL.!S23&lt;51,GRAL.!S23," ")</f>
        <v xml:space="preserve"> </v>
      </c>
      <c r="I22" s="119" t="str">
        <f>IF(GRAL.!V23&lt;51,GRAL.!V23," ")</f>
        <v xml:space="preserve"> </v>
      </c>
      <c r="J22" s="119" t="str">
        <f>IF(GRAL.!Y23&lt;51,GRAL.!Y23," ")</f>
        <v xml:space="preserve"> </v>
      </c>
      <c r="K22" s="119" t="str">
        <f>IF(GRAL.!AB23&lt;51,GRAL.!AB23," ")</f>
        <v xml:space="preserve"> </v>
      </c>
      <c r="L22" s="119" t="str">
        <f>IF(GRAL.!AE23&lt;51,GRAL.!AE23," ")</f>
        <v xml:space="preserve"> </v>
      </c>
      <c r="M22" s="121" t="str">
        <f>IF(GRAL.!AH23&lt;51,GRAL.!AH23," ")</f>
        <v xml:space="preserve"> </v>
      </c>
      <c r="N22" s="122" t="str">
        <f t="shared" si="1"/>
        <v xml:space="preserve"> </v>
      </c>
      <c r="P22" s="140">
        <f>'REP 1°'!N22</f>
        <v>4</v>
      </c>
    </row>
    <row r="23" spans="1:16" ht="18.75">
      <c r="A23" s="60">
        <f>NOMINA!A25</f>
        <v>20</v>
      </c>
      <c r="B23" s="196" t="str">
        <f>NOMINA!B25</f>
        <v>MAGNANI CANAVIRI JOSUE JHONATHAN</v>
      </c>
      <c r="C23" s="138" t="str">
        <f>IF(GRAL.!D24&lt;51,GRAL.!D24," ")</f>
        <v xml:space="preserve"> </v>
      </c>
      <c r="D23" s="119" t="str">
        <f>IF(GRAL.!G24&lt;51,GRAL.!G24," ")</f>
        <v xml:space="preserve"> </v>
      </c>
      <c r="E23" s="119" t="str">
        <f>IF(GRAL.!J24&lt;51,GRAL.!J24," ")</f>
        <v xml:space="preserve"> </v>
      </c>
      <c r="F23" s="119" t="str">
        <f>IF(GRAL.!M24&lt;51,GRAL.!M24," ")</f>
        <v xml:space="preserve"> </v>
      </c>
      <c r="G23" s="119" t="str">
        <f>IF(GRAL.!P24&lt;51,GRAL.!P24," ")</f>
        <v xml:space="preserve"> </v>
      </c>
      <c r="H23" s="119" t="str">
        <f>IF(GRAL.!S24&lt;51,GRAL.!S24," ")</f>
        <v xml:space="preserve"> </v>
      </c>
      <c r="I23" s="119" t="str">
        <f>IF(GRAL.!V24&lt;51,GRAL.!V24," ")</f>
        <v xml:space="preserve"> </v>
      </c>
      <c r="J23" s="119" t="str">
        <f>IF(GRAL.!Y24&lt;51,GRAL.!Y24," ")</f>
        <v xml:space="preserve"> </v>
      </c>
      <c r="K23" s="119" t="str">
        <f>IF(GRAL.!AB24&lt;51,GRAL.!AB24," ")</f>
        <v xml:space="preserve"> </v>
      </c>
      <c r="L23" s="119" t="str">
        <f>IF(GRAL.!AE24&lt;51,GRAL.!AE24," ")</f>
        <v xml:space="preserve"> </v>
      </c>
      <c r="M23" s="121" t="str">
        <f>IF(GRAL.!AH24&lt;51,GRAL.!AH24," ")</f>
        <v xml:space="preserve"> </v>
      </c>
      <c r="N23" s="122" t="str">
        <f t="shared" si="1"/>
        <v xml:space="preserve"> </v>
      </c>
      <c r="P23" s="140">
        <f>'REP 1°'!N23</f>
        <v>1</v>
      </c>
    </row>
    <row r="24" spans="1:16" ht="18.75">
      <c r="A24" s="60">
        <f>NOMINA!A26</f>
        <v>21</v>
      </c>
      <c r="B24" s="196" t="str">
        <f>NOMINA!B26</f>
        <v>MERUVIA GUTIERREZ ASHLY SCARLETT</v>
      </c>
      <c r="C24" s="138" t="str">
        <f>IF(GRAL.!D25&lt;51,GRAL.!D25," ")</f>
        <v xml:space="preserve"> </v>
      </c>
      <c r="D24" s="119" t="str">
        <f>IF(GRAL.!G25&lt;51,GRAL.!G25," ")</f>
        <v xml:space="preserve"> </v>
      </c>
      <c r="E24" s="119" t="str">
        <f>IF(GRAL.!J25&lt;51,GRAL.!J25," ")</f>
        <v xml:space="preserve"> </v>
      </c>
      <c r="F24" s="119" t="str">
        <f>IF(GRAL.!M25&lt;51,GRAL.!M25," ")</f>
        <v xml:space="preserve"> </v>
      </c>
      <c r="G24" s="119" t="str">
        <f>IF(GRAL.!P25&lt;51,GRAL.!P25," ")</f>
        <v xml:space="preserve"> </v>
      </c>
      <c r="H24" s="119" t="str">
        <f>IF(GRAL.!S25&lt;51,GRAL.!S25," ")</f>
        <v xml:space="preserve"> </v>
      </c>
      <c r="I24" s="119" t="str">
        <f>IF(GRAL.!V25&lt;51,GRAL.!V25," ")</f>
        <v xml:space="preserve"> </v>
      </c>
      <c r="J24" s="119" t="str">
        <f>IF(GRAL.!Y25&lt;51,GRAL.!Y25," ")</f>
        <v xml:space="preserve"> </v>
      </c>
      <c r="K24" s="119" t="str">
        <f>IF(GRAL.!AB25&lt;51,GRAL.!AB25," ")</f>
        <v xml:space="preserve"> </v>
      </c>
      <c r="L24" s="119" t="str">
        <f>IF(GRAL.!AE25&lt;51,GRAL.!AE25," ")</f>
        <v xml:space="preserve"> </v>
      </c>
      <c r="M24" s="121" t="str">
        <f>IF(GRAL.!AH25&lt;51,GRAL.!AH25," ")</f>
        <v xml:space="preserve"> </v>
      </c>
      <c r="N24" s="122" t="str">
        <f t="shared" si="1"/>
        <v xml:space="preserve"> </v>
      </c>
      <c r="P24" s="140" t="str">
        <f>'REP 1°'!N24</f>
        <v xml:space="preserve"> </v>
      </c>
    </row>
    <row r="25" spans="1:16" ht="18.75">
      <c r="A25" s="60">
        <f>NOMINA!A27</f>
        <v>22</v>
      </c>
      <c r="B25" s="196" t="str">
        <f>NOMINA!B27</f>
        <v>MONTAÑO QUILO BENJAMIN GONZALO</v>
      </c>
      <c r="C25" s="138" t="str">
        <f>IF(GRAL.!D26&lt;51,GRAL.!D26," ")</f>
        <v xml:space="preserve"> </v>
      </c>
      <c r="D25" s="119" t="str">
        <f>IF(GRAL.!G26&lt;51,GRAL.!G26," ")</f>
        <v xml:space="preserve"> </v>
      </c>
      <c r="E25" s="119" t="str">
        <f>IF(GRAL.!J26&lt;51,GRAL.!J26," ")</f>
        <v xml:space="preserve"> </v>
      </c>
      <c r="F25" s="119" t="str">
        <f>IF(GRAL.!M26&lt;51,GRAL.!M26," ")</f>
        <v xml:space="preserve"> </v>
      </c>
      <c r="G25" s="119" t="str">
        <f>IF(GRAL.!P26&lt;51,GRAL.!P26," ")</f>
        <v xml:space="preserve"> </v>
      </c>
      <c r="H25" s="119" t="str">
        <f>IF(GRAL.!S26&lt;51,GRAL.!S26," ")</f>
        <v xml:space="preserve"> </v>
      </c>
      <c r="I25" s="119" t="str">
        <f>IF(GRAL.!V26&lt;51,GRAL.!V26," ")</f>
        <v xml:space="preserve"> </v>
      </c>
      <c r="J25" s="119" t="str">
        <f>IF(GRAL.!Y26&lt;51,GRAL.!Y26," ")</f>
        <v xml:space="preserve"> </v>
      </c>
      <c r="K25" s="119" t="str">
        <f>IF(GRAL.!AB26&lt;51,GRAL.!AB26," ")</f>
        <v xml:space="preserve"> </v>
      </c>
      <c r="L25" s="119" t="str">
        <f>IF(GRAL.!AE26&lt;51,GRAL.!AE26," ")</f>
        <v xml:space="preserve"> </v>
      </c>
      <c r="M25" s="121" t="str">
        <f>IF(GRAL.!AH26&lt;51,GRAL.!AH26," ")</f>
        <v xml:space="preserve"> </v>
      </c>
      <c r="N25" s="122" t="str">
        <f t="shared" si="1"/>
        <v xml:space="preserve"> </v>
      </c>
      <c r="P25" s="140">
        <f>'REP 1°'!N25</f>
        <v>6</v>
      </c>
    </row>
    <row r="26" spans="1:16" ht="18.75">
      <c r="A26" s="60">
        <f>NOMINA!A28</f>
        <v>23</v>
      </c>
      <c r="B26" s="196" t="str">
        <f>NOMINA!B28</f>
        <v>PANIAGUA VARGAS KEYLA</v>
      </c>
      <c r="C26" s="138" t="str">
        <f>IF(GRAL.!D27&lt;51,GRAL.!D27," ")</f>
        <v xml:space="preserve"> </v>
      </c>
      <c r="D26" s="119" t="str">
        <f>IF(GRAL.!G27&lt;51,GRAL.!G27," ")</f>
        <v xml:space="preserve"> </v>
      </c>
      <c r="E26" s="119" t="str">
        <f>IF(GRAL.!J27&lt;51,GRAL.!J27," ")</f>
        <v xml:space="preserve"> </v>
      </c>
      <c r="F26" s="119" t="str">
        <f>IF(GRAL.!M27&lt;51,GRAL.!M27," ")</f>
        <v xml:space="preserve"> </v>
      </c>
      <c r="G26" s="119" t="str">
        <f>IF(GRAL.!P27&lt;51,GRAL.!P27," ")</f>
        <v xml:space="preserve"> </v>
      </c>
      <c r="H26" s="119" t="str">
        <f>IF(GRAL.!S27&lt;51,GRAL.!S27," ")</f>
        <v xml:space="preserve"> </v>
      </c>
      <c r="I26" s="119" t="str">
        <f>IF(GRAL.!V27&lt;51,GRAL.!V27," ")</f>
        <v xml:space="preserve"> </v>
      </c>
      <c r="J26" s="119" t="str">
        <f>IF(GRAL.!Y27&lt;51,GRAL.!Y27," ")</f>
        <v xml:space="preserve"> </v>
      </c>
      <c r="K26" s="119" t="str">
        <f>IF(GRAL.!AB27&lt;51,GRAL.!AB27," ")</f>
        <v xml:space="preserve"> </v>
      </c>
      <c r="L26" s="119" t="str">
        <f>IF(GRAL.!AE27&lt;51,GRAL.!AE27," ")</f>
        <v xml:space="preserve"> </v>
      </c>
      <c r="M26" s="121" t="str">
        <f>IF(GRAL.!AH27&lt;51,GRAL.!AH27," ")</f>
        <v xml:space="preserve"> </v>
      </c>
      <c r="N26" s="122" t="str">
        <f t="shared" si="1"/>
        <v xml:space="preserve"> </v>
      </c>
      <c r="P26" s="140" t="str">
        <f>'REP 1°'!N26</f>
        <v xml:space="preserve"> </v>
      </c>
    </row>
    <row r="27" spans="1:16" ht="18.75">
      <c r="A27" s="60">
        <f>NOMINA!A29</f>
        <v>24</v>
      </c>
      <c r="B27" s="196" t="str">
        <f>NOMINA!B29</f>
        <v>PATZI GUARACHI MARIA BELEN</v>
      </c>
      <c r="C27" s="138" t="str">
        <f>IF(GRAL.!D28&lt;51,GRAL.!D28," ")</f>
        <v xml:space="preserve"> </v>
      </c>
      <c r="D27" s="119" t="str">
        <f>IF(GRAL.!G28&lt;51,GRAL.!G28," ")</f>
        <v xml:space="preserve"> </v>
      </c>
      <c r="E27" s="119" t="str">
        <f>IF(GRAL.!J28&lt;51,GRAL.!J28," ")</f>
        <v xml:space="preserve"> </v>
      </c>
      <c r="F27" s="119" t="str">
        <f>IF(GRAL.!M28&lt;51,GRAL.!M28," ")</f>
        <v xml:space="preserve"> </v>
      </c>
      <c r="G27" s="119" t="str">
        <f>IF(GRAL.!P28&lt;51,GRAL.!P28," ")</f>
        <v xml:space="preserve"> </v>
      </c>
      <c r="H27" s="119" t="str">
        <f>IF(GRAL.!S28&lt;51,GRAL.!S28," ")</f>
        <v xml:space="preserve"> </v>
      </c>
      <c r="I27" s="119" t="str">
        <f>IF(GRAL.!V28&lt;51,GRAL.!V28," ")</f>
        <v xml:space="preserve"> </v>
      </c>
      <c r="J27" s="119" t="str">
        <f>IF(GRAL.!Y28&lt;51,GRAL.!Y28," ")</f>
        <v xml:space="preserve"> </v>
      </c>
      <c r="K27" s="119" t="str">
        <f>IF(GRAL.!AB28&lt;51,GRAL.!AB28," ")</f>
        <v xml:space="preserve"> </v>
      </c>
      <c r="L27" s="119" t="str">
        <f>IF(GRAL.!AE28&lt;51,GRAL.!AE28," ")</f>
        <v xml:space="preserve"> </v>
      </c>
      <c r="M27" s="121" t="str">
        <f>IF(GRAL.!AH28&lt;51,GRAL.!AH28," ")</f>
        <v xml:space="preserve"> </v>
      </c>
      <c r="N27" s="122" t="str">
        <f t="shared" si="1"/>
        <v xml:space="preserve"> </v>
      </c>
      <c r="P27" s="140" t="str">
        <f>'REP 1°'!N27</f>
        <v xml:space="preserve"> </v>
      </c>
    </row>
    <row r="28" spans="1:16" ht="18.75">
      <c r="A28" s="60">
        <f>NOMINA!A30</f>
        <v>25</v>
      </c>
      <c r="B28" s="196" t="str">
        <f>NOMINA!B30</f>
        <v>QUENALLATA CESPEDES LUMAIDA YANISS</v>
      </c>
      <c r="C28" s="138" t="str">
        <f>IF(GRAL.!D29&lt;51,GRAL.!D29," ")</f>
        <v xml:space="preserve"> </v>
      </c>
      <c r="D28" s="119" t="str">
        <f>IF(GRAL.!G29&lt;51,GRAL.!G29," ")</f>
        <v xml:space="preserve"> </v>
      </c>
      <c r="E28" s="119" t="str">
        <f>IF(GRAL.!J29&lt;51,GRAL.!J29," ")</f>
        <v xml:space="preserve"> </v>
      </c>
      <c r="F28" s="119" t="str">
        <f>IF(GRAL.!M29&lt;51,GRAL.!M29," ")</f>
        <v xml:space="preserve"> </v>
      </c>
      <c r="G28" s="119" t="str">
        <f>IF(GRAL.!P29&lt;51,GRAL.!P29," ")</f>
        <v xml:space="preserve"> </v>
      </c>
      <c r="H28" s="119" t="str">
        <f>IF(GRAL.!S29&lt;51,GRAL.!S29," ")</f>
        <v xml:space="preserve"> </v>
      </c>
      <c r="I28" s="119" t="str">
        <f>IF(GRAL.!V29&lt;51,GRAL.!V29," ")</f>
        <v xml:space="preserve"> </v>
      </c>
      <c r="J28" s="119" t="str">
        <f>IF(GRAL.!Y29&lt;51,GRAL.!Y29," ")</f>
        <v xml:space="preserve"> </v>
      </c>
      <c r="K28" s="119" t="str">
        <f>IF(GRAL.!AB29&lt;51,GRAL.!AB29," ")</f>
        <v xml:space="preserve"> </v>
      </c>
      <c r="L28" s="119" t="str">
        <f>IF(GRAL.!AE29&lt;51,GRAL.!AE29," ")</f>
        <v xml:space="preserve"> </v>
      </c>
      <c r="M28" s="121" t="str">
        <f>IF(GRAL.!AH29&lt;51,GRAL.!AH29," ")</f>
        <v xml:space="preserve"> </v>
      </c>
      <c r="N28" s="122" t="str">
        <f t="shared" si="1"/>
        <v xml:space="preserve"> </v>
      </c>
      <c r="P28" s="140">
        <f>'REP 1°'!N28</f>
        <v>4</v>
      </c>
    </row>
    <row r="29" spans="1:16" ht="18.75">
      <c r="A29" s="60">
        <f>NOMINA!A31</f>
        <v>26</v>
      </c>
      <c r="B29" s="196" t="str">
        <f>NOMINA!B31</f>
        <v>QUISPE ESCARZA CIELO</v>
      </c>
      <c r="C29" s="138" t="str">
        <f>IF(GRAL.!D30&lt;51,GRAL.!D30," ")</f>
        <v xml:space="preserve"> </v>
      </c>
      <c r="D29" s="119" t="str">
        <f>IF(GRAL.!G30&lt;51,GRAL.!G30," ")</f>
        <v xml:space="preserve"> </v>
      </c>
      <c r="E29" s="119" t="str">
        <f>IF(GRAL.!J30&lt;51,GRAL.!J30," ")</f>
        <v xml:space="preserve"> </v>
      </c>
      <c r="F29" s="119" t="str">
        <f>IF(GRAL.!M30&lt;51,GRAL.!M30," ")</f>
        <v xml:space="preserve"> </v>
      </c>
      <c r="G29" s="119" t="str">
        <f>IF(GRAL.!P30&lt;51,GRAL.!P30," ")</f>
        <v xml:space="preserve"> </v>
      </c>
      <c r="H29" s="119" t="str">
        <f>IF(GRAL.!S30&lt;51,GRAL.!S30," ")</f>
        <v xml:space="preserve"> </v>
      </c>
      <c r="I29" s="119" t="str">
        <f>IF(GRAL.!V30&lt;51,GRAL.!V30," ")</f>
        <v xml:space="preserve"> </v>
      </c>
      <c r="J29" s="119" t="str">
        <f>IF(GRAL.!Y30&lt;51,GRAL.!Y30," ")</f>
        <v xml:space="preserve"> </v>
      </c>
      <c r="K29" s="119" t="str">
        <f>IF(GRAL.!AB30&lt;51,GRAL.!AB30," ")</f>
        <v xml:space="preserve"> </v>
      </c>
      <c r="L29" s="119" t="str">
        <f>IF(GRAL.!AE30&lt;51,GRAL.!AE30," ")</f>
        <v xml:space="preserve"> </v>
      </c>
      <c r="M29" s="121" t="str">
        <f>IF(GRAL.!AH30&lt;51,GRAL.!AH30," ")</f>
        <v xml:space="preserve"> </v>
      </c>
      <c r="N29" s="122" t="str">
        <f t="shared" si="1"/>
        <v xml:space="preserve"> </v>
      </c>
      <c r="P29" s="140">
        <f>'REP 1°'!N29</f>
        <v>5</v>
      </c>
    </row>
    <row r="30" spans="1:16" ht="18.75">
      <c r="A30" s="60">
        <f>NOMINA!A32</f>
        <v>27</v>
      </c>
      <c r="B30" s="196" t="str">
        <f>NOMINA!B32</f>
        <v>QUISPE MILAN ADRIAN ANTHONY</v>
      </c>
      <c r="C30" s="138" t="str">
        <f>IF(GRAL.!D31&lt;51,GRAL.!D31," ")</f>
        <v xml:space="preserve"> </v>
      </c>
      <c r="D30" s="119" t="str">
        <f>IF(GRAL.!G31&lt;51,GRAL.!G31," ")</f>
        <v xml:space="preserve"> </v>
      </c>
      <c r="E30" s="119" t="str">
        <f>IF(GRAL.!J31&lt;51,GRAL.!J31," ")</f>
        <v xml:space="preserve"> </v>
      </c>
      <c r="F30" s="119" t="str">
        <f>IF(GRAL.!M31&lt;51,GRAL.!M31," ")</f>
        <v xml:space="preserve"> </v>
      </c>
      <c r="G30" s="119" t="str">
        <f>IF(GRAL.!P31&lt;51,GRAL.!P31," ")</f>
        <v xml:space="preserve"> </v>
      </c>
      <c r="H30" s="119" t="str">
        <f>IF(GRAL.!S31&lt;51,GRAL.!S31," ")</f>
        <v xml:space="preserve"> </v>
      </c>
      <c r="I30" s="119" t="str">
        <f>IF(GRAL.!V31&lt;51,GRAL.!V31," ")</f>
        <v xml:space="preserve"> </v>
      </c>
      <c r="J30" s="119" t="str">
        <f>IF(GRAL.!Y31&lt;51,GRAL.!Y31," ")</f>
        <v xml:space="preserve"> </v>
      </c>
      <c r="K30" s="119" t="str">
        <f>IF(GRAL.!AB31&lt;51,GRAL.!AB31," ")</f>
        <v xml:space="preserve"> </v>
      </c>
      <c r="L30" s="119" t="str">
        <f>IF(GRAL.!AE31&lt;51,GRAL.!AE31," ")</f>
        <v xml:space="preserve"> </v>
      </c>
      <c r="M30" s="121" t="str">
        <f>IF(GRAL.!AH31&lt;51,GRAL.!AH31," ")</f>
        <v xml:space="preserve"> </v>
      </c>
      <c r="N30" s="122" t="str">
        <f t="shared" si="1"/>
        <v xml:space="preserve"> </v>
      </c>
      <c r="P30" s="140">
        <f>'REP 1°'!N30</f>
        <v>1</v>
      </c>
    </row>
    <row r="31" spans="1:16" ht="18.75">
      <c r="A31" s="60">
        <f>NOMINA!A33</f>
        <v>28</v>
      </c>
      <c r="B31" s="196" t="str">
        <f>NOMINA!B33</f>
        <v>ROMAN TITO MATEO</v>
      </c>
      <c r="C31" s="138" t="str">
        <f>IF(GRAL.!D32&lt;51,GRAL.!D32," ")</f>
        <v xml:space="preserve"> </v>
      </c>
      <c r="D31" s="119" t="str">
        <f>IF(GRAL.!G32&lt;51,GRAL.!G32," ")</f>
        <v xml:space="preserve"> </v>
      </c>
      <c r="E31" s="119" t="str">
        <f>IF(GRAL.!J32&lt;51,GRAL.!J32," ")</f>
        <v xml:space="preserve"> </v>
      </c>
      <c r="F31" s="119" t="str">
        <f>IF(GRAL.!M32&lt;51,GRAL.!M32," ")</f>
        <v xml:space="preserve"> </v>
      </c>
      <c r="G31" s="119" t="str">
        <f>IF(GRAL.!P32&lt;51,GRAL.!P32," ")</f>
        <v xml:space="preserve"> </v>
      </c>
      <c r="H31" s="119" t="str">
        <f>IF(GRAL.!S32&lt;51,GRAL.!S32," ")</f>
        <v xml:space="preserve"> </v>
      </c>
      <c r="I31" s="119" t="str">
        <f>IF(GRAL.!V32&lt;51,GRAL.!V32," ")</f>
        <v xml:space="preserve"> </v>
      </c>
      <c r="J31" s="119" t="str">
        <f>IF(GRAL.!Y32&lt;51,GRAL.!Y32," ")</f>
        <v xml:space="preserve"> </v>
      </c>
      <c r="K31" s="119" t="str">
        <f>IF(GRAL.!AB32&lt;51,GRAL.!AB32," ")</f>
        <v xml:space="preserve"> </v>
      </c>
      <c r="L31" s="119" t="str">
        <f>IF(GRAL.!AE32&lt;51,GRAL.!AE32," ")</f>
        <v xml:space="preserve"> </v>
      </c>
      <c r="M31" s="121" t="str">
        <f>IF(GRAL.!AH32&lt;51,GRAL.!AH32," ")</f>
        <v xml:space="preserve"> </v>
      </c>
      <c r="N31" s="122" t="str">
        <f t="shared" si="1"/>
        <v xml:space="preserve"> </v>
      </c>
      <c r="P31" s="140" t="str">
        <f>'REP 1°'!N31</f>
        <v xml:space="preserve"> </v>
      </c>
    </row>
    <row r="32" spans="1:16" ht="18.75">
      <c r="A32" s="60">
        <f>NOMINA!A34</f>
        <v>29</v>
      </c>
      <c r="B32" s="196" t="str">
        <f>NOMINA!B34</f>
        <v xml:space="preserve">SILES MAMANI JUSTIN ANGEL </v>
      </c>
      <c r="C32" s="138" t="str">
        <f>IF(GRAL.!D33&lt;51,GRAL.!D33," ")</f>
        <v xml:space="preserve"> </v>
      </c>
      <c r="D32" s="119" t="str">
        <f>IF(GRAL.!G33&lt;51,GRAL.!G33," ")</f>
        <v xml:space="preserve"> </v>
      </c>
      <c r="E32" s="119" t="str">
        <f>IF(GRAL.!J33&lt;51,GRAL.!J33," ")</f>
        <v xml:space="preserve"> </v>
      </c>
      <c r="F32" s="119" t="str">
        <f>IF(GRAL.!M33&lt;51,GRAL.!M33," ")</f>
        <v xml:space="preserve"> </v>
      </c>
      <c r="G32" s="119" t="str">
        <f>IF(GRAL.!P33&lt;51,GRAL.!P33," ")</f>
        <v xml:space="preserve"> </v>
      </c>
      <c r="H32" s="119" t="str">
        <f>IF(GRAL.!S33&lt;51,GRAL.!S33," ")</f>
        <v xml:space="preserve"> </v>
      </c>
      <c r="I32" s="119" t="str">
        <f>IF(GRAL.!V33&lt;51,GRAL.!V33," ")</f>
        <v xml:space="preserve"> </v>
      </c>
      <c r="J32" s="119" t="str">
        <f>IF(GRAL.!Y33&lt;51,GRAL.!Y33," ")</f>
        <v xml:space="preserve"> </v>
      </c>
      <c r="K32" s="119" t="str">
        <f>IF(GRAL.!AB33&lt;51,GRAL.!AB33," ")</f>
        <v xml:space="preserve"> </v>
      </c>
      <c r="L32" s="119" t="str">
        <f>IF(GRAL.!AE33&lt;51,GRAL.!AE33," ")</f>
        <v xml:space="preserve"> </v>
      </c>
      <c r="M32" s="121" t="str">
        <f>IF(GRAL.!AH33&lt;51,GRAL.!AH33," ")</f>
        <v xml:space="preserve"> </v>
      </c>
      <c r="N32" s="122" t="str">
        <f t="shared" si="1"/>
        <v xml:space="preserve"> </v>
      </c>
      <c r="P32" s="140" t="str">
        <f>'REP 1°'!N32</f>
        <v xml:space="preserve"> </v>
      </c>
    </row>
    <row r="33" spans="1:17" ht="18.75">
      <c r="A33" s="60">
        <f>NOMINA!A35</f>
        <v>30</v>
      </c>
      <c r="B33" s="196" t="str">
        <f>NOMINA!B35</f>
        <v>TERAN COCA DIEGO NICOLAS</v>
      </c>
      <c r="C33" s="138" t="str">
        <f>IF(GRAL.!D34&lt;51,GRAL.!D34," ")</f>
        <v xml:space="preserve"> </v>
      </c>
      <c r="D33" s="119" t="str">
        <f>IF(GRAL.!G34&lt;51,GRAL.!G34," ")</f>
        <v xml:space="preserve"> </v>
      </c>
      <c r="E33" s="119" t="str">
        <f>IF(GRAL.!J34&lt;51,GRAL.!J34," ")</f>
        <v xml:space="preserve"> </v>
      </c>
      <c r="F33" s="119" t="str">
        <f>IF(GRAL.!M34&lt;51,GRAL.!M34," ")</f>
        <v xml:space="preserve"> </v>
      </c>
      <c r="G33" s="119" t="str">
        <f>IF(GRAL.!P34&lt;51,GRAL.!P34," ")</f>
        <v xml:space="preserve"> </v>
      </c>
      <c r="H33" s="119" t="str">
        <f>IF(GRAL.!S34&lt;51,GRAL.!S34," ")</f>
        <v xml:space="preserve"> </v>
      </c>
      <c r="I33" s="119" t="str">
        <f>IF(GRAL.!V34&lt;51,GRAL.!V34," ")</f>
        <v xml:space="preserve"> </v>
      </c>
      <c r="J33" s="119" t="str">
        <f>IF(GRAL.!Y34&lt;51,GRAL.!Y34," ")</f>
        <v xml:space="preserve"> </v>
      </c>
      <c r="K33" s="119" t="str">
        <f>IF(GRAL.!AB34&lt;51,GRAL.!AB34," ")</f>
        <v xml:space="preserve"> </v>
      </c>
      <c r="L33" s="119" t="str">
        <f>IF(GRAL.!AE34&lt;51,GRAL.!AE34," ")</f>
        <v xml:space="preserve"> </v>
      </c>
      <c r="M33" s="121" t="str">
        <f>IF(GRAL.!AH34&lt;51,GRAL.!AH34," ")</f>
        <v xml:space="preserve"> </v>
      </c>
      <c r="N33" s="122" t="str">
        <f t="shared" si="1"/>
        <v xml:space="preserve"> </v>
      </c>
      <c r="P33" s="140" t="str">
        <f>'REP 1°'!N33</f>
        <v xml:space="preserve"> </v>
      </c>
    </row>
    <row r="34" spans="1:17" ht="18.75">
      <c r="A34" s="60">
        <f>NOMINA!A36</f>
        <v>31</v>
      </c>
      <c r="B34" s="196" t="str">
        <f>NOMINA!B36</f>
        <v>URIA LOPEZ SEBASTIAN ARIEL</v>
      </c>
      <c r="C34" s="138" t="str">
        <f>IF(GRAL.!D35&lt;51,GRAL.!D35," ")</f>
        <v xml:space="preserve"> </v>
      </c>
      <c r="D34" s="119" t="str">
        <f>IF(GRAL.!G35&lt;51,GRAL.!G35," ")</f>
        <v xml:space="preserve"> </v>
      </c>
      <c r="E34" s="119" t="str">
        <f>IF(GRAL.!J35&lt;51,GRAL.!J35," ")</f>
        <v xml:space="preserve"> </v>
      </c>
      <c r="F34" s="119" t="str">
        <f>IF(GRAL.!M35&lt;51,GRAL.!M35," ")</f>
        <v xml:space="preserve"> </v>
      </c>
      <c r="G34" s="119" t="str">
        <f>IF(GRAL.!P35&lt;51,GRAL.!P35," ")</f>
        <v xml:space="preserve"> </v>
      </c>
      <c r="H34" s="119" t="str">
        <f>IF(GRAL.!S35&lt;51,GRAL.!S35," ")</f>
        <v xml:space="preserve"> </v>
      </c>
      <c r="I34" s="119" t="str">
        <f>IF(GRAL.!V35&lt;51,GRAL.!V35," ")</f>
        <v xml:space="preserve"> </v>
      </c>
      <c r="J34" s="119" t="str">
        <f>IF(GRAL.!Y35&lt;51,GRAL.!Y35," ")</f>
        <v xml:space="preserve"> </v>
      </c>
      <c r="K34" s="119" t="str">
        <f>IF(GRAL.!AB35&lt;51,GRAL.!AB35," ")</f>
        <v xml:space="preserve"> </v>
      </c>
      <c r="L34" s="119" t="str">
        <f>IF(GRAL.!AE35&lt;51,GRAL.!AE35," ")</f>
        <v xml:space="preserve"> </v>
      </c>
      <c r="M34" s="121" t="str">
        <f>IF(GRAL.!AH35&lt;51,GRAL.!AH35," ")</f>
        <v xml:space="preserve"> </v>
      </c>
      <c r="N34" s="122" t="str">
        <f t="shared" si="1"/>
        <v xml:space="preserve"> </v>
      </c>
      <c r="P34" s="140" t="str">
        <f>'REP 1°'!N34</f>
        <v xml:space="preserve"> </v>
      </c>
    </row>
    <row r="35" spans="1:17" ht="18.75">
      <c r="A35" s="60">
        <f>NOMINA!A37</f>
        <v>32</v>
      </c>
      <c r="B35" s="196" t="str">
        <f>NOMINA!B37</f>
        <v>VASQUEZ ESPINOZA JHONATAN YAYCOB</v>
      </c>
      <c r="C35" s="138" t="str">
        <f>IF(GRAL.!D36&lt;51,GRAL.!D36," ")</f>
        <v xml:space="preserve"> </v>
      </c>
      <c r="D35" s="119" t="str">
        <f>IF(GRAL.!G36&lt;51,GRAL.!G36," ")</f>
        <v xml:space="preserve"> </v>
      </c>
      <c r="E35" s="119" t="str">
        <f>IF(GRAL.!J36&lt;51,GRAL.!J36," ")</f>
        <v xml:space="preserve"> </v>
      </c>
      <c r="F35" s="119" t="str">
        <f>IF(GRAL.!M36&lt;51,GRAL.!M36," ")</f>
        <v xml:space="preserve"> </v>
      </c>
      <c r="G35" s="119" t="str">
        <f>IF(GRAL.!P36&lt;51,GRAL.!P36," ")</f>
        <v xml:space="preserve"> </v>
      </c>
      <c r="H35" s="119" t="str">
        <f>IF(GRAL.!S36&lt;51,GRAL.!S36," ")</f>
        <v xml:space="preserve"> </v>
      </c>
      <c r="I35" s="119" t="str">
        <f>IF(GRAL.!V36&lt;51,GRAL.!V36," ")</f>
        <v xml:space="preserve"> </v>
      </c>
      <c r="J35" s="119" t="str">
        <f>IF(GRAL.!Y36&lt;51,GRAL.!Y36," ")</f>
        <v xml:space="preserve"> </v>
      </c>
      <c r="K35" s="119" t="str">
        <f>IF(GRAL.!AB36&lt;51,GRAL.!AB36," ")</f>
        <v xml:space="preserve"> </v>
      </c>
      <c r="L35" s="119" t="str">
        <f>IF(GRAL.!AE36&lt;51,GRAL.!AE36," ")</f>
        <v xml:space="preserve"> </v>
      </c>
      <c r="M35" s="121" t="str">
        <f>IF(GRAL.!AH36&lt;51,GRAL.!AH36," ")</f>
        <v xml:space="preserve"> </v>
      </c>
      <c r="N35" s="122" t="str">
        <f t="shared" si="1"/>
        <v xml:space="preserve"> </v>
      </c>
      <c r="P35" s="140" t="str">
        <f>'REP 1°'!N35</f>
        <v xml:space="preserve"> </v>
      </c>
    </row>
    <row r="36" spans="1:17" ht="18.75">
      <c r="A36" s="60">
        <f>NOMINA!A38</f>
        <v>33</v>
      </c>
      <c r="B36" s="196" t="str">
        <f>NOMINA!B38</f>
        <v>VEIZAGA LEDEZMA SEBASTIAN</v>
      </c>
      <c r="C36" s="138" t="str">
        <f>IF(GRAL.!D37&lt;51,GRAL.!D37," ")</f>
        <v xml:space="preserve"> </v>
      </c>
      <c r="D36" s="119" t="str">
        <f>IF(GRAL.!G37&lt;51,GRAL.!G37," ")</f>
        <v xml:space="preserve"> </v>
      </c>
      <c r="E36" s="119" t="str">
        <f>IF(GRAL.!J37&lt;51,GRAL.!J37," ")</f>
        <v xml:space="preserve"> </v>
      </c>
      <c r="F36" s="119" t="str">
        <f>IF(GRAL.!M37&lt;51,GRAL.!M37," ")</f>
        <v xml:space="preserve"> </v>
      </c>
      <c r="G36" s="119" t="str">
        <f>IF(GRAL.!P37&lt;51,GRAL.!P37," ")</f>
        <v xml:space="preserve"> </v>
      </c>
      <c r="H36" s="119" t="str">
        <f>IF(GRAL.!S37&lt;51,GRAL.!S37," ")</f>
        <v xml:space="preserve"> </v>
      </c>
      <c r="I36" s="119" t="str">
        <f>IF(GRAL.!V37&lt;51,GRAL.!V37," ")</f>
        <v xml:space="preserve"> </v>
      </c>
      <c r="J36" s="119" t="str">
        <f>IF(GRAL.!Y37&lt;51,GRAL.!Y37," ")</f>
        <v xml:space="preserve"> </v>
      </c>
      <c r="K36" s="119" t="str">
        <f>IF(GRAL.!AB37&lt;51,GRAL.!AB37," ")</f>
        <v xml:space="preserve"> </v>
      </c>
      <c r="L36" s="119" t="str">
        <f>IF(GRAL.!AE37&lt;51,GRAL.!AE37," ")</f>
        <v xml:space="preserve"> </v>
      </c>
      <c r="M36" s="121" t="str">
        <f>IF(GRAL.!AH37&lt;51,GRAL.!AH37," ")</f>
        <v xml:space="preserve"> </v>
      </c>
      <c r="N36" s="122" t="str">
        <f t="shared" si="1"/>
        <v xml:space="preserve"> </v>
      </c>
      <c r="P36" s="140" t="str">
        <f>'REP 1°'!N36</f>
        <v xml:space="preserve"> </v>
      </c>
    </row>
    <row r="37" spans="1:17" ht="18.75">
      <c r="A37" s="60">
        <f>NOMINA!A39</f>
        <v>34</v>
      </c>
      <c r="B37" s="196" t="str">
        <f>NOMINA!B39</f>
        <v>VILLARROEL CUCHILLO HUGO SEBASTIAN</v>
      </c>
      <c r="C37" s="138" t="str">
        <f>IF(GRAL.!D38&lt;51,GRAL.!D38," ")</f>
        <v xml:space="preserve"> </v>
      </c>
      <c r="D37" s="119" t="str">
        <f>IF(GRAL.!G38&lt;51,GRAL.!G38," ")</f>
        <v xml:space="preserve"> </v>
      </c>
      <c r="E37" s="119" t="str">
        <f>IF(GRAL.!J38&lt;51,GRAL.!J38," ")</f>
        <v xml:space="preserve"> </v>
      </c>
      <c r="F37" s="119" t="str">
        <f>IF(GRAL.!M38&lt;51,GRAL.!M38," ")</f>
        <v xml:space="preserve"> </v>
      </c>
      <c r="G37" s="119" t="str">
        <f>IF(GRAL.!P38&lt;51,GRAL.!P38," ")</f>
        <v xml:space="preserve"> </v>
      </c>
      <c r="H37" s="119" t="str">
        <f>IF(GRAL.!S38&lt;51,GRAL.!S38," ")</f>
        <v xml:space="preserve"> </v>
      </c>
      <c r="I37" s="119" t="str">
        <f>IF(GRAL.!V38&lt;51,GRAL.!V38," ")</f>
        <v xml:space="preserve"> </v>
      </c>
      <c r="J37" s="119" t="str">
        <f>IF(GRAL.!Y38&lt;51,GRAL.!Y38," ")</f>
        <v xml:space="preserve"> </v>
      </c>
      <c r="K37" s="119" t="str">
        <f>IF(GRAL.!AB38&lt;51,GRAL.!AB38," ")</f>
        <v xml:space="preserve"> </v>
      </c>
      <c r="L37" s="119" t="str">
        <f>IF(GRAL.!AE38&lt;51,GRAL.!AE38," ")</f>
        <v xml:space="preserve"> </v>
      </c>
      <c r="M37" s="121" t="str">
        <f>IF(GRAL.!AH38&lt;51,GRAL.!AH38," ")</f>
        <v xml:space="preserve"> </v>
      </c>
      <c r="N37" s="122" t="str">
        <f t="shared" si="1"/>
        <v xml:space="preserve"> </v>
      </c>
      <c r="P37" s="140">
        <f>'REP 1°'!N37</f>
        <v>2</v>
      </c>
    </row>
    <row r="38" spans="1:17" ht="18.75">
      <c r="A38" s="60">
        <f>NOMINA!A40</f>
        <v>35</v>
      </c>
      <c r="B38" s="196" t="str">
        <f>NOMINA!B40</f>
        <v>ZAMBRANA MENDEZ MIRCO ALEXANDER</v>
      </c>
      <c r="C38" s="138" t="str">
        <f>IF(GRAL.!D39&lt;51,GRAL.!D39," ")</f>
        <v xml:space="preserve"> </v>
      </c>
      <c r="D38" s="119" t="str">
        <f>IF(GRAL.!G39&lt;51,GRAL.!G39," ")</f>
        <v xml:space="preserve"> </v>
      </c>
      <c r="E38" s="119" t="str">
        <f>IF(GRAL.!J39&lt;51,GRAL.!J39," ")</f>
        <v xml:space="preserve"> </v>
      </c>
      <c r="F38" s="119" t="str">
        <f>IF(GRAL.!M39&lt;51,GRAL.!M39," ")</f>
        <v xml:space="preserve"> </v>
      </c>
      <c r="G38" s="119" t="str">
        <f>IF(GRAL.!P39&lt;51,GRAL.!P39," ")</f>
        <v xml:space="preserve"> </v>
      </c>
      <c r="H38" s="119" t="str">
        <f>IF(GRAL.!S39&lt;51,GRAL.!S39," ")</f>
        <v xml:space="preserve"> </v>
      </c>
      <c r="I38" s="119" t="str">
        <f>IF(GRAL.!V39&lt;51,GRAL.!V39," ")</f>
        <v xml:space="preserve"> </v>
      </c>
      <c r="J38" s="119" t="str">
        <f>IF(GRAL.!Y39&lt;51,GRAL.!Y39," ")</f>
        <v xml:space="preserve"> </v>
      </c>
      <c r="K38" s="119" t="str">
        <f>IF(GRAL.!AB39&lt;51,GRAL.!AB39," ")</f>
        <v xml:space="preserve"> </v>
      </c>
      <c r="L38" s="119" t="str">
        <f>IF(GRAL.!AE39&lt;51,GRAL.!AE39," ")</f>
        <v xml:space="preserve"> </v>
      </c>
      <c r="M38" s="121" t="str">
        <f>IF(GRAL.!AH39&lt;51,GRAL.!AH39," ")</f>
        <v xml:space="preserve"> </v>
      </c>
      <c r="N38" s="122" t="str">
        <f t="shared" si="1"/>
        <v xml:space="preserve"> </v>
      </c>
      <c r="O38" s="158"/>
      <c r="P38" s="140">
        <f>'REP 1°'!N38</f>
        <v>4</v>
      </c>
    </row>
    <row r="39" spans="1:17" ht="18.75">
      <c r="A39" s="60">
        <f>NOMINA!A41</f>
        <v>36</v>
      </c>
      <c r="B39" s="196">
        <f>NOMINA!B41</f>
        <v>0</v>
      </c>
      <c r="C39" s="138" t="str">
        <f>IF(GRAL.!D40&lt;51,GRAL.!D40," ")</f>
        <v xml:space="preserve"> </v>
      </c>
      <c r="D39" s="119" t="str">
        <f>IF(GRAL.!G40&lt;51,GRAL.!G40," ")</f>
        <v xml:space="preserve"> </v>
      </c>
      <c r="E39" s="119" t="str">
        <f>IF(GRAL.!J40&lt;51,GRAL.!J40," ")</f>
        <v xml:space="preserve"> </v>
      </c>
      <c r="F39" s="119" t="str">
        <f>IF(GRAL.!M40&lt;51,GRAL.!M40," ")</f>
        <v xml:space="preserve"> </v>
      </c>
      <c r="G39" s="119" t="str">
        <f>IF(GRAL.!P40&lt;51,GRAL.!P40," ")</f>
        <v xml:space="preserve"> </v>
      </c>
      <c r="H39" s="119" t="str">
        <f>IF(GRAL.!S40&lt;51,GRAL.!S40," ")</f>
        <v xml:space="preserve"> </v>
      </c>
      <c r="I39" s="119" t="str">
        <f>IF(GRAL.!V40&lt;51,GRAL.!V40," ")</f>
        <v xml:space="preserve"> </v>
      </c>
      <c r="J39" s="119" t="str">
        <f>IF(GRAL.!Y40&lt;51,GRAL.!Y40," ")</f>
        <v xml:space="preserve"> </v>
      </c>
      <c r="K39" s="119" t="str">
        <f>IF(GRAL.!AB40&lt;51,GRAL.!AB40," ")</f>
        <v xml:space="preserve"> </v>
      </c>
      <c r="L39" s="119" t="str">
        <f>IF(GRAL.!AE40&lt;51,GRAL.!AE40," ")</f>
        <v xml:space="preserve"> </v>
      </c>
      <c r="M39" s="121" t="str">
        <f>IF(GRAL.!AH40&lt;51,GRAL.!AH40," ")</f>
        <v xml:space="preserve"> </v>
      </c>
      <c r="N39" s="122" t="str">
        <f t="shared" si="1"/>
        <v xml:space="preserve"> </v>
      </c>
      <c r="O39" s="158"/>
      <c r="P39" s="140" t="str">
        <f>'REP 1°'!N39</f>
        <v xml:space="preserve"> </v>
      </c>
    </row>
    <row r="40" spans="1:17" ht="18.75">
      <c r="A40" s="60">
        <f>NOMINA!A42</f>
        <v>37</v>
      </c>
      <c r="B40" s="196">
        <f>NOMINA!B42</f>
        <v>0</v>
      </c>
      <c r="C40" s="138" t="str">
        <f>IF(GRAL.!D41&lt;51,GRAL.!D41," ")</f>
        <v xml:space="preserve"> </v>
      </c>
      <c r="D40" s="119" t="str">
        <f>IF(GRAL.!G41&lt;51,GRAL.!G41," ")</f>
        <v xml:space="preserve"> </v>
      </c>
      <c r="E40" s="119" t="str">
        <f>IF(GRAL.!J41&lt;51,GRAL.!J41," ")</f>
        <v xml:space="preserve"> </v>
      </c>
      <c r="F40" s="119" t="str">
        <f>IF(GRAL.!M41&lt;51,GRAL.!M41," ")</f>
        <v xml:space="preserve"> </v>
      </c>
      <c r="G40" s="119" t="str">
        <f>IF(GRAL.!P41&lt;51,GRAL.!P41," ")</f>
        <v xml:space="preserve"> </v>
      </c>
      <c r="H40" s="119" t="str">
        <f>IF(GRAL.!S41&lt;51,GRAL.!S41," ")</f>
        <v xml:space="preserve"> </v>
      </c>
      <c r="I40" s="119" t="str">
        <f>IF(GRAL.!V41&lt;51,GRAL.!V41," ")</f>
        <v xml:space="preserve"> </v>
      </c>
      <c r="J40" s="119" t="str">
        <f>IF(GRAL.!Y41&lt;51,GRAL.!Y41," ")</f>
        <v xml:space="preserve"> </v>
      </c>
      <c r="K40" s="119" t="str">
        <f>IF(GRAL.!AB41&lt;51,GRAL.!AB41," ")</f>
        <v xml:space="preserve"> </v>
      </c>
      <c r="L40" s="119" t="str">
        <f>IF(GRAL.!AE41&lt;51,GRAL.!AE41," ")</f>
        <v xml:space="preserve"> </v>
      </c>
      <c r="M40" s="121" t="str">
        <f>IF(GRAL.!AH41&lt;51,GRAL.!AH41," ")</f>
        <v xml:space="preserve"> </v>
      </c>
      <c r="N40" s="122" t="str">
        <f t="shared" si="1"/>
        <v xml:space="preserve"> </v>
      </c>
      <c r="O40" s="158"/>
      <c r="P40" s="140" t="str">
        <f>'REP 1°'!N40</f>
        <v xml:space="preserve"> </v>
      </c>
    </row>
    <row r="41" spans="1:17" ht="18.75">
      <c r="A41" s="60">
        <f>NOMINA!A43</f>
        <v>38</v>
      </c>
      <c r="B41" s="196">
        <f>NOMINA!B43</f>
        <v>0</v>
      </c>
      <c r="C41" s="138" t="str">
        <f>IF(GRAL.!D42&lt;51,GRAL.!D42," ")</f>
        <v xml:space="preserve"> </v>
      </c>
      <c r="D41" s="119" t="str">
        <f>IF(GRAL.!G42&lt;51,GRAL.!G42," ")</f>
        <v xml:space="preserve"> </v>
      </c>
      <c r="E41" s="119" t="str">
        <f>IF(GRAL.!J42&lt;51,GRAL.!J42," ")</f>
        <v xml:space="preserve"> </v>
      </c>
      <c r="F41" s="119" t="str">
        <f>IF(GRAL.!M42&lt;51,GRAL.!M42," ")</f>
        <v xml:space="preserve"> </v>
      </c>
      <c r="G41" s="119" t="str">
        <f>IF(GRAL.!P42&lt;51,GRAL.!P42," ")</f>
        <v xml:space="preserve"> </v>
      </c>
      <c r="H41" s="119" t="str">
        <f>IF(GRAL.!S42&lt;51,GRAL.!S42," ")</f>
        <v xml:space="preserve"> </v>
      </c>
      <c r="I41" s="119" t="str">
        <f>IF(GRAL.!V42&lt;51,GRAL.!V42," ")</f>
        <v xml:space="preserve"> </v>
      </c>
      <c r="J41" s="119" t="str">
        <f>IF(GRAL.!Y42&lt;51,GRAL.!Y42," ")</f>
        <v xml:space="preserve"> </v>
      </c>
      <c r="K41" s="119" t="str">
        <f>IF(GRAL.!AB42&lt;51,GRAL.!AB42," ")</f>
        <v xml:space="preserve"> </v>
      </c>
      <c r="L41" s="119" t="str">
        <f>IF(GRAL.!AE42&lt;51,GRAL.!AE42," ")</f>
        <v xml:space="preserve"> </v>
      </c>
      <c r="M41" s="121" t="str">
        <f>IF(GRAL.!AH42&lt;51,GRAL.!AH42," ")</f>
        <v xml:space="preserve"> </v>
      </c>
      <c r="N41" s="122" t="str">
        <f t="shared" si="1"/>
        <v xml:space="preserve"> </v>
      </c>
      <c r="O41" s="158"/>
      <c r="P41" s="140" t="str">
        <f>'REP 1°'!N41</f>
        <v xml:space="preserve"> </v>
      </c>
    </row>
    <row r="42" spans="1:17" ht="18.75">
      <c r="A42" s="60">
        <f>NOMINA!A44</f>
        <v>39</v>
      </c>
      <c r="B42" s="196">
        <f>NOMINA!B44</f>
        <v>0</v>
      </c>
      <c r="C42" s="138" t="str">
        <f>IF(GRAL.!D43&lt;51,GRAL.!D43," ")</f>
        <v xml:space="preserve"> </v>
      </c>
      <c r="D42" s="119" t="str">
        <f>IF(GRAL.!G43&lt;51,GRAL.!G43," ")</f>
        <v xml:space="preserve"> </v>
      </c>
      <c r="E42" s="119" t="str">
        <f>IF(GRAL.!J43&lt;51,GRAL.!J43," ")</f>
        <v xml:space="preserve"> </v>
      </c>
      <c r="F42" s="119" t="str">
        <f>IF(GRAL.!M43&lt;51,GRAL.!M43," ")</f>
        <v xml:space="preserve"> </v>
      </c>
      <c r="G42" s="119" t="str">
        <f>IF(GRAL.!P43&lt;51,GRAL.!P43," ")</f>
        <v xml:space="preserve"> </v>
      </c>
      <c r="H42" s="119" t="str">
        <f>IF(GRAL.!S43&lt;51,GRAL.!S43," ")</f>
        <v xml:space="preserve"> </v>
      </c>
      <c r="I42" s="119" t="str">
        <f>IF(GRAL.!V43&lt;51,GRAL.!V43," ")</f>
        <v xml:space="preserve"> </v>
      </c>
      <c r="J42" s="119" t="str">
        <f>IF(GRAL.!Y43&lt;51,GRAL.!Y43," ")</f>
        <v xml:space="preserve"> </v>
      </c>
      <c r="K42" s="119" t="str">
        <f>IF(GRAL.!AB43&lt;51,GRAL.!AB43," ")</f>
        <v xml:space="preserve"> </v>
      </c>
      <c r="L42" s="119" t="str">
        <f>IF(GRAL.!AE43&lt;51,GRAL.!AE43," ")</f>
        <v xml:space="preserve"> </v>
      </c>
      <c r="M42" s="121" t="str">
        <f>IF(GRAL.!AH43&lt;51,GRAL.!AH43," ")</f>
        <v xml:space="preserve"> </v>
      </c>
      <c r="N42" s="122" t="str">
        <f t="shared" si="1"/>
        <v xml:space="preserve"> </v>
      </c>
      <c r="O42" s="158"/>
      <c r="P42" s="140" t="str">
        <f>'REP 1°'!N42</f>
        <v xml:space="preserve"> </v>
      </c>
    </row>
    <row r="43" spans="1:17" ht="18.75">
      <c r="A43" s="60">
        <f>NOMINA!A45</f>
        <v>40</v>
      </c>
      <c r="B43" s="196">
        <f>NOMINA!B45</f>
        <v>0</v>
      </c>
      <c r="C43" s="138" t="str">
        <f>IF(GRAL.!D44&lt;51,GRAL.!D44," ")</f>
        <v xml:space="preserve"> </v>
      </c>
      <c r="D43" s="119" t="str">
        <f>IF(GRAL.!G44&lt;51,GRAL.!G44," ")</f>
        <v xml:space="preserve"> </v>
      </c>
      <c r="E43" s="119" t="str">
        <f>IF(GRAL.!J44&lt;51,GRAL.!J44," ")</f>
        <v xml:space="preserve"> </v>
      </c>
      <c r="F43" s="119" t="str">
        <f>IF(GRAL.!M44&lt;51,GRAL.!M44," ")</f>
        <v xml:space="preserve"> </v>
      </c>
      <c r="G43" s="119" t="str">
        <f>IF(GRAL.!P44&lt;51,GRAL.!P44," ")</f>
        <v xml:space="preserve"> </v>
      </c>
      <c r="H43" s="119" t="str">
        <f>IF(GRAL.!S44&lt;51,GRAL.!S44," ")</f>
        <v xml:space="preserve"> </v>
      </c>
      <c r="I43" s="119" t="str">
        <f>IF(GRAL.!V44&lt;51,GRAL.!V44," ")</f>
        <v xml:space="preserve"> </v>
      </c>
      <c r="J43" s="119" t="str">
        <f>IF(GRAL.!Y44&lt;51,GRAL.!Y44," ")</f>
        <v xml:space="preserve"> </v>
      </c>
      <c r="K43" s="119" t="str">
        <f>IF(GRAL.!AB44&lt;51,GRAL.!AB44," ")</f>
        <v xml:space="preserve"> </v>
      </c>
      <c r="L43" s="119" t="str">
        <f>IF(GRAL.!AE44&lt;51,GRAL.!AE44," ")</f>
        <v xml:space="preserve"> </v>
      </c>
      <c r="M43" s="121" t="str">
        <f>IF(GRAL.!AH44&lt;51,GRAL.!AH44," ")</f>
        <v xml:space="preserve"> </v>
      </c>
      <c r="N43" s="122" t="str">
        <f t="shared" si="1"/>
        <v xml:space="preserve"> </v>
      </c>
      <c r="O43" s="158"/>
      <c r="P43" s="140" t="str">
        <f>'REP 1°'!N43</f>
        <v xml:space="preserve"> </v>
      </c>
    </row>
    <row r="44" spans="1:17" ht="18.75">
      <c r="A44" s="60">
        <f>NOMINA!A46</f>
        <v>41</v>
      </c>
      <c r="B44" s="196">
        <f>NOMINA!B46</f>
        <v>0</v>
      </c>
      <c r="C44" s="138" t="str">
        <f>IF(GRAL.!D45&lt;51,GRAL.!D45," ")</f>
        <v xml:space="preserve"> </v>
      </c>
      <c r="D44" s="119" t="str">
        <f>IF(GRAL.!G45&lt;51,GRAL.!G45," ")</f>
        <v xml:space="preserve"> </v>
      </c>
      <c r="E44" s="119" t="str">
        <f>IF(GRAL.!J45&lt;51,GRAL.!J45," ")</f>
        <v xml:space="preserve"> </v>
      </c>
      <c r="F44" s="119" t="str">
        <f>IF(GRAL.!M45&lt;51,GRAL.!M45," ")</f>
        <v xml:space="preserve"> </v>
      </c>
      <c r="G44" s="119" t="str">
        <f>IF(GRAL.!P45&lt;51,GRAL.!P45," ")</f>
        <v xml:space="preserve"> </v>
      </c>
      <c r="H44" s="119" t="str">
        <f>IF(GRAL.!S45&lt;51,GRAL.!S45," ")</f>
        <v xml:space="preserve"> </v>
      </c>
      <c r="I44" s="119" t="str">
        <f>IF(GRAL.!V45&lt;51,GRAL.!V45," ")</f>
        <v xml:space="preserve"> </v>
      </c>
      <c r="J44" s="119" t="str">
        <f>IF(GRAL.!Y45&lt;51,GRAL.!Y45," ")</f>
        <v xml:space="preserve"> </v>
      </c>
      <c r="K44" s="119" t="str">
        <f>IF(GRAL.!AB45&lt;51,GRAL.!AB45," ")</f>
        <v xml:space="preserve"> </v>
      </c>
      <c r="L44" s="119" t="str">
        <f>IF(GRAL.!AE45&lt;51,GRAL.!AE45," ")</f>
        <v xml:space="preserve"> </v>
      </c>
      <c r="M44" s="121" t="str">
        <f>IF(GRAL.!AH45&lt;51,GRAL.!AH45," ")</f>
        <v xml:space="preserve"> </v>
      </c>
      <c r="N44" s="122" t="str">
        <f t="shared" si="1"/>
        <v xml:space="preserve"> </v>
      </c>
      <c r="O44" s="16"/>
      <c r="P44" s="140" t="str">
        <f>'REP 1°'!N44</f>
        <v xml:space="preserve"> </v>
      </c>
      <c r="Q44" s="16"/>
    </row>
    <row r="45" spans="1:17" ht="15.75" thickBot="1">
      <c r="A45" s="18"/>
      <c r="B45" s="18"/>
      <c r="C45" s="18"/>
      <c r="D45" s="18"/>
      <c r="E45" s="18"/>
      <c r="F45" s="18"/>
      <c r="G45" s="18"/>
      <c r="H45" s="18"/>
      <c r="I45" s="18"/>
      <c r="J45" s="18"/>
      <c r="K45" s="18"/>
      <c r="L45" s="18"/>
      <c r="M45" s="18"/>
      <c r="N45" s="120"/>
    </row>
    <row r="46" spans="1:17" ht="19.5" customHeight="1">
      <c r="A46" s="18"/>
      <c r="B46" s="123" t="s">
        <v>74</v>
      </c>
      <c r="C46" s="124">
        <f>COUNT(C4:C44)</f>
        <v>0</v>
      </c>
      <c r="D46" s="124">
        <f t="shared" ref="D46:M46" si="2">COUNT(D4:D44)</f>
        <v>0</v>
      </c>
      <c r="E46" s="124">
        <f t="shared" si="2"/>
        <v>0</v>
      </c>
      <c r="F46" s="124">
        <f t="shared" si="2"/>
        <v>0</v>
      </c>
      <c r="G46" s="124">
        <f t="shared" si="2"/>
        <v>0</v>
      </c>
      <c r="H46" s="124">
        <f t="shared" si="2"/>
        <v>0</v>
      </c>
      <c r="I46" s="124">
        <f t="shared" si="2"/>
        <v>0</v>
      </c>
      <c r="J46" s="124">
        <f t="shared" si="2"/>
        <v>0</v>
      </c>
      <c r="K46" s="124">
        <f t="shared" si="2"/>
        <v>0</v>
      </c>
      <c r="L46" s="124">
        <f t="shared" si="2"/>
        <v>0</v>
      </c>
      <c r="M46" s="124">
        <f t="shared" si="2"/>
        <v>0</v>
      </c>
      <c r="N46" s="162">
        <f>SUM(N4:N44)</f>
        <v>0</v>
      </c>
      <c r="P46" s="164">
        <f>'REP 1°'!N46</f>
        <v>53</v>
      </c>
    </row>
    <row r="47" spans="1:17" ht="22.5" customHeight="1" thickBot="1">
      <c r="B47" s="125" t="s">
        <v>28</v>
      </c>
      <c r="C47" s="126" t="e">
        <f>GRAL.!D52</f>
        <v>#DIV/0!</v>
      </c>
      <c r="D47" s="126" t="e">
        <f>GRAL.!G52</f>
        <v>#DIV/0!</v>
      </c>
      <c r="E47" s="126" t="e">
        <f>GRAL.!J52</f>
        <v>#DIV/0!</v>
      </c>
      <c r="F47" s="126" t="e">
        <f>GRAL.!M52</f>
        <v>#DIV/0!</v>
      </c>
      <c r="G47" s="126" t="e">
        <f>GRAL.!P52</f>
        <v>#DIV/0!</v>
      </c>
      <c r="H47" s="126" t="e">
        <f>GRAL.!S52</f>
        <v>#DIV/0!</v>
      </c>
      <c r="I47" s="126" t="e">
        <f>GRAL.!V52</f>
        <v>#DIV/0!</v>
      </c>
      <c r="J47" s="126" t="e">
        <f>GRAL.!Y52</f>
        <v>#DIV/0!</v>
      </c>
      <c r="K47" s="126" t="e">
        <f>GRAL.!AB52</f>
        <v>#DIV/0!</v>
      </c>
      <c r="L47" s="126" t="e">
        <f>GRAL.!AE52</f>
        <v>#DIV/0!</v>
      </c>
      <c r="M47" s="126" t="e">
        <f>GRAL.!AH52</f>
        <v>#DIV/0!</v>
      </c>
      <c r="N47" s="163" t="e">
        <f>AVERAGE(C47:M47)</f>
        <v>#DIV/0!</v>
      </c>
      <c r="P47" s="165">
        <f>'REP 1°'!N47</f>
        <v>13.766233766233768</v>
      </c>
    </row>
  </sheetData>
  <mergeCells count="15">
    <mergeCell ref="H2:H3"/>
    <mergeCell ref="A2:B3"/>
    <mergeCell ref="C2:C3"/>
    <mergeCell ref="D2:D3"/>
    <mergeCell ref="E2:E3"/>
    <mergeCell ref="F2:F3"/>
    <mergeCell ref="G2:G3"/>
    <mergeCell ref="R6:S6"/>
    <mergeCell ref="I2:I3"/>
    <mergeCell ref="J2:J3"/>
    <mergeCell ref="K2:K3"/>
    <mergeCell ref="L2:L3"/>
    <mergeCell ref="M2:M3"/>
    <mergeCell ref="N2:N3"/>
    <mergeCell ref="P2:P3"/>
  </mergeCells>
  <pageMargins left="0.55000000000000004" right="0.31" top="0.45" bottom="0.37" header="0.3" footer="0.3"/>
  <pageSetup orientation="portrait" horizontalDpi="4294967293"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8"/>
  <dimension ref="A1:S47"/>
  <sheetViews>
    <sheetView topLeftCell="G1" workbookViewId="0">
      <pane ySplit="3" topLeftCell="A4" activePane="bottomLeft" state="frozen"/>
      <selection pane="bottomLeft" activeCell="T15" sqref="T15"/>
    </sheetView>
  </sheetViews>
  <sheetFormatPr defaultColWidth="11.42578125" defaultRowHeight="15"/>
  <cols>
    <col min="1" max="1" width="3.28515625" customWidth="1"/>
    <col min="2" max="2" width="31.140625" customWidth="1"/>
    <col min="3" max="13" width="4.85546875" customWidth="1"/>
    <col min="14" max="14" width="7.7109375" customWidth="1"/>
    <col min="15" max="15" width="2" customWidth="1"/>
    <col min="16" max="16" width="6.85546875" customWidth="1"/>
    <col min="17" max="17" width="7.5703125" customWidth="1"/>
  </cols>
  <sheetData>
    <row r="1" spans="1:19" ht="12" customHeight="1" thickBot="1">
      <c r="A1" s="18"/>
      <c r="B1" s="18"/>
      <c r="C1" s="18"/>
      <c r="D1" s="18"/>
      <c r="E1" s="18"/>
      <c r="F1" s="18"/>
      <c r="G1" s="18"/>
      <c r="H1" s="18"/>
      <c r="I1" s="18"/>
      <c r="J1" s="18"/>
      <c r="K1" s="18"/>
      <c r="L1" s="18"/>
      <c r="M1" s="18"/>
      <c r="N1" s="18"/>
    </row>
    <row r="2" spans="1:19" ht="26.25" customHeight="1">
      <c r="A2" s="242" t="str">
        <f>NOMINA!$B$2</f>
        <v>CURSO 2A</v>
      </c>
      <c r="B2" s="243"/>
      <c r="C2" s="246" t="s">
        <v>15</v>
      </c>
      <c r="D2" s="240" t="s">
        <v>16</v>
      </c>
      <c r="E2" s="240" t="s">
        <v>56</v>
      </c>
      <c r="F2" s="240" t="s">
        <v>23</v>
      </c>
      <c r="G2" s="240" t="s">
        <v>18</v>
      </c>
      <c r="H2" s="240" t="s">
        <v>40</v>
      </c>
      <c r="I2" s="240" t="s">
        <v>14</v>
      </c>
      <c r="J2" s="240" t="s">
        <v>104</v>
      </c>
      <c r="K2" s="240" t="s">
        <v>48</v>
      </c>
      <c r="L2" s="240" t="s">
        <v>57</v>
      </c>
      <c r="M2" s="251" t="s">
        <v>19</v>
      </c>
      <c r="N2" s="248" t="s">
        <v>73</v>
      </c>
      <c r="P2" s="341" t="s">
        <v>91</v>
      </c>
      <c r="Q2" s="341" t="s">
        <v>92</v>
      </c>
    </row>
    <row r="3" spans="1:19" ht="21.75" customHeight="1" thickBot="1">
      <c r="A3" s="244"/>
      <c r="B3" s="245"/>
      <c r="C3" s="340"/>
      <c r="D3" s="334"/>
      <c r="E3" s="334"/>
      <c r="F3" s="334"/>
      <c r="G3" s="334"/>
      <c r="H3" s="334"/>
      <c r="I3" s="334"/>
      <c r="J3" s="334"/>
      <c r="K3" s="334"/>
      <c r="L3" s="334"/>
      <c r="M3" s="335"/>
      <c r="N3" s="249"/>
      <c r="P3" s="342"/>
      <c r="Q3" s="342"/>
    </row>
    <row r="4" spans="1:19" ht="18.75">
      <c r="A4" s="60">
        <f>NOMINA!A6</f>
        <v>1</v>
      </c>
      <c r="B4" s="196" t="str">
        <f>NOMINA!B6</f>
        <v>ABREU MARRERO LIZ DANIELA</v>
      </c>
      <c r="C4" s="128" t="str">
        <f>IF(GRAL.!E5&lt;51,GRAL.!E5," ")</f>
        <v xml:space="preserve"> </v>
      </c>
      <c r="D4" s="119" t="str">
        <f>IF(GRAL.!H5&lt;51,GRAL.!H5," ")</f>
        <v xml:space="preserve"> </v>
      </c>
      <c r="E4" s="119" t="str">
        <f>IF(GRAL.!K5&lt;51,GRAL.!K5," ")</f>
        <v xml:space="preserve"> </v>
      </c>
      <c r="F4" s="119" t="str">
        <f>IF(GRAL.!N5&lt;51,GRAL.!N5," ")</f>
        <v xml:space="preserve"> </v>
      </c>
      <c r="G4" s="119" t="str">
        <f>IF(GRAL.!Q5&lt;51,GRAL.!Q5," ")</f>
        <v xml:space="preserve"> </v>
      </c>
      <c r="H4" s="119" t="str">
        <f>IF(GRAL.!T5&lt;51,GRAL.!T5," ")</f>
        <v xml:space="preserve"> </v>
      </c>
      <c r="I4" s="119" t="str">
        <f>IF(GRAL.!W5&lt;51,GRAL.!W5," ")</f>
        <v xml:space="preserve"> </v>
      </c>
      <c r="J4" s="119" t="str">
        <f>IF(GRAL.!Z5&lt;51,GRAL.!Z5," ")</f>
        <v xml:space="preserve"> </v>
      </c>
      <c r="K4" s="119" t="str">
        <f>IF(GRAL.!AC5&lt;51,GRAL.!AC5," ")</f>
        <v xml:space="preserve"> </v>
      </c>
      <c r="L4" s="119" t="str">
        <f>IF(GRAL.!AF5&lt;51,GRAL.!AF5," ")</f>
        <v xml:space="preserve"> </v>
      </c>
      <c r="M4" s="121" t="str">
        <f>IF(GRAL.!AI5&lt;51,GRAL.!AI5," ")</f>
        <v xml:space="preserve"> </v>
      </c>
      <c r="N4" s="122" t="str">
        <f t="shared" ref="N4:N43" si="0">IF(COUNT(C4:M4)=0," ",COUNT(C4:M4))</f>
        <v xml:space="preserve"> </v>
      </c>
      <c r="P4" s="139" t="str">
        <f>'REP 1°'!N4</f>
        <v xml:space="preserve"> </v>
      </c>
      <c r="Q4" s="139" t="str">
        <f>'REP 2°'!N4</f>
        <v xml:space="preserve"> </v>
      </c>
    </row>
    <row r="5" spans="1:19" ht="18.75">
      <c r="A5" s="48">
        <f>NOMINA!A7</f>
        <v>2</v>
      </c>
      <c r="B5" s="197" t="str">
        <f>NOMINA!B7</f>
        <v>ALIAGA SAAVEDRA MARCU MAURICIO</v>
      </c>
      <c r="C5" s="127" t="str">
        <f>IF(GRAL.!E6&lt;51,GRAL.!E6," ")</f>
        <v xml:space="preserve"> </v>
      </c>
      <c r="D5" s="119" t="str">
        <f>IF(GRAL.!H6&lt;51,GRAL.!H6," ")</f>
        <v xml:space="preserve"> </v>
      </c>
      <c r="E5" s="119" t="str">
        <f>IF(GRAL.!K6&lt;51,GRAL.!K6," ")</f>
        <v xml:space="preserve"> </v>
      </c>
      <c r="F5" s="119" t="str">
        <f>IF(GRAL.!N6&lt;51,GRAL.!N6," ")</f>
        <v xml:space="preserve"> </v>
      </c>
      <c r="G5" s="119" t="str">
        <f>IF(GRAL.!Q6&lt;51,GRAL.!Q6," ")</f>
        <v xml:space="preserve"> </v>
      </c>
      <c r="H5" s="119" t="str">
        <f>IF(GRAL.!T6&lt;51,GRAL.!T6," ")</f>
        <v xml:space="preserve"> </v>
      </c>
      <c r="I5" s="119" t="str">
        <f>IF(GRAL.!W6&lt;51,GRAL.!W6," ")</f>
        <v xml:space="preserve"> </v>
      </c>
      <c r="J5" s="119" t="str">
        <f>IF(GRAL.!Z6&lt;51,GRAL.!Z6," ")</f>
        <v xml:space="preserve"> </v>
      </c>
      <c r="K5" s="119" t="str">
        <f>IF(GRAL.!AC6&lt;51,GRAL.!AC6," ")</f>
        <v xml:space="preserve"> </v>
      </c>
      <c r="L5" s="119" t="str">
        <f>IF(GRAL.!AF6&lt;51,GRAL.!AF6," ")</f>
        <v xml:space="preserve"> </v>
      </c>
      <c r="M5" s="121" t="str">
        <f>IF(GRAL.!AI6&lt;51,GRAL.!AI6," ")</f>
        <v xml:space="preserve"> </v>
      </c>
      <c r="N5" s="122" t="str">
        <f t="shared" si="0"/>
        <v xml:space="preserve"> </v>
      </c>
      <c r="P5" s="139" t="str">
        <f>'REP 1°'!N5</f>
        <v xml:space="preserve"> </v>
      </c>
      <c r="Q5" s="139" t="str">
        <f>'REP 2°'!N5</f>
        <v xml:space="preserve"> </v>
      </c>
    </row>
    <row r="6" spans="1:19" ht="18.75">
      <c r="A6" s="48">
        <f>NOMINA!A8</f>
        <v>3</v>
      </c>
      <c r="B6" s="197" t="str">
        <f>NOMINA!B8</f>
        <v>ANTEZANA CACHI JOSE MAXWEL</v>
      </c>
      <c r="C6" s="127" t="str">
        <f>IF(GRAL.!E7&lt;51,GRAL.!E7," ")</f>
        <v xml:space="preserve"> </v>
      </c>
      <c r="D6" s="119" t="str">
        <f>IF(GRAL.!H7&lt;51,GRAL.!H7," ")</f>
        <v xml:space="preserve"> </v>
      </c>
      <c r="E6" s="119" t="str">
        <f>IF(GRAL.!K7&lt;51,GRAL.!K7," ")</f>
        <v xml:space="preserve"> </v>
      </c>
      <c r="F6" s="119" t="str">
        <f>IF(GRAL.!N7&lt;51,GRAL.!N7," ")</f>
        <v xml:space="preserve"> </v>
      </c>
      <c r="G6" s="119" t="str">
        <f>IF(GRAL.!Q7&lt;51,GRAL.!Q7," ")</f>
        <v xml:space="preserve"> </v>
      </c>
      <c r="H6" s="119" t="str">
        <f>IF(GRAL.!T7&lt;51,GRAL.!T7," ")</f>
        <v xml:space="preserve"> </v>
      </c>
      <c r="I6" s="119" t="str">
        <f>IF(GRAL.!W7&lt;51,GRAL.!W7," ")</f>
        <v xml:space="preserve"> </v>
      </c>
      <c r="J6" s="119" t="str">
        <f>IF(GRAL.!Z7&lt;51,GRAL.!Z7," ")</f>
        <v xml:space="preserve"> </v>
      </c>
      <c r="K6" s="119" t="str">
        <f>IF(GRAL.!AC7&lt;51,GRAL.!AC7," ")</f>
        <v xml:space="preserve"> </v>
      </c>
      <c r="L6" s="119" t="str">
        <f>IF(GRAL.!AF7&lt;51,GRAL.!AF7," ")</f>
        <v xml:space="preserve"> </v>
      </c>
      <c r="M6" s="121" t="str">
        <f>IF(GRAL.!AI7&lt;51,GRAL.!AI7," ")</f>
        <v xml:space="preserve"> </v>
      </c>
      <c r="N6" s="122" t="str">
        <f t="shared" si="0"/>
        <v xml:space="preserve"> </v>
      </c>
      <c r="P6" s="139" t="str">
        <f>'REP 1°'!N6</f>
        <v xml:space="preserve"> </v>
      </c>
      <c r="Q6" s="139" t="str">
        <f>'REP 2°'!N6</f>
        <v xml:space="preserve"> </v>
      </c>
      <c r="R6" s="250" t="s">
        <v>69</v>
      </c>
      <c r="S6" s="250"/>
    </row>
    <row r="7" spans="1:19" ht="18.75">
      <c r="A7" s="48">
        <f>NOMINA!A9</f>
        <v>4</v>
      </c>
      <c r="B7" s="197" t="str">
        <f>NOMINA!B9</f>
        <v>ARIZACA SALGUERO SANTIAGO</v>
      </c>
      <c r="C7" s="127" t="str">
        <f>IF(GRAL.!E8&lt;51,GRAL.!E8," ")</f>
        <v xml:space="preserve"> </v>
      </c>
      <c r="D7" s="119" t="str">
        <f>IF(GRAL.!H8&lt;51,GRAL.!H8," ")</f>
        <v xml:space="preserve"> </v>
      </c>
      <c r="E7" s="119" t="str">
        <f>IF(GRAL.!K8&lt;51,GRAL.!K8," ")</f>
        <v xml:space="preserve"> </v>
      </c>
      <c r="F7" s="119" t="str">
        <f>IF(GRAL.!N8&lt;51,GRAL.!N8," ")</f>
        <v xml:space="preserve"> </v>
      </c>
      <c r="G7" s="119" t="str">
        <f>IF(GRAL.!Q8&lt;51,GRAL.!Q8," ")</f>
        <v xml:space="preserve"> </v>
      </c>
      <c r="H7" s="119" t="str">
        <f>IF(GRAL.!T8&lt;51,GRAL.!T8," ")</f>
        <v xml:space="preserve"> </v>
      </c>
      <c r="I7" s="119" t="str">
        <f>IF(GRAL.!W8&lt;51,GRAL.!W8," ")</f>
        <v xml:space="preserve"> </v>
      </c>
      <c r="J7" s="119" t="str">
        <f>IF(GRAL.!Z8&lt;51,GRAL.!Z8," ")</f>
        <v xml:space="preserve"> </v>
      </c>
      <c r="K7" s="119" t="str">
        <f>IF(GRAL.!AC8&lt;51,GRAL.!AC8," ")</f>
        <v xml:space="preserve"> </v>
      </c>
      <c r="L7" s="119" t="str">
        <f>IF(GRAL.!AF8&lt;51,GRAL.!AF8," ")</f>
        <v xml:space="preserve"> </v>
      </c>
      <c r="M7" s="121" t="str">
        <f>IF(GRAL.!AI8&lt;51,GRAL.!AI8," ")</f>
        <v xml:space="preserve"> </v>
      </c>
      <c r="N7" s="122" t="str">
        <f t="shared" si="0"/>
        <v xml:space="preserve"> </v>
      </c>
      <c r="P7" s="139">
        <f>'REP 1°'!N7</f>
        <v>2</v>
      </c>
      <c r="Q7" s="139" t="str">
        <f>'REP 2°'!N7</f>
        <v xml:space="preserve"> </v>
      </c>
    </row>
    <row r="8" spans="1:19" ht="18.75">
      <c r="A8" s="48">
        <f>NOMINA!A10</f>
        <v>5</v>
      </c>
      <c r="B8" s="197" t="str">
        <f>NOMINA!B10</f>
        <v>BAUTISTA GARCIA ALISON LUCIANA</v>
      </c>
      <c r="C8" s="127" t="str">
        <f>IF(GRAL.!E9&lt;51,GRAL.!E9," ")</f>
        <v xml:space="preserve"> </v>
      </c>
      <c r="D8" s="119" t="str">
        <f>IF(GRAL.!H9&lt;51,GRAL.!H9," ")</f>
        <v xml:space="preserve"> </v>
      </c>
      <c r="E8" s="119" t="str">
        <f>IF(GRAL.!K9&lt;51,GRAL.!K9," ")</f>
        <v xml:space="preserve"> </v>
      </c>
      <c r="F8" s="119" t="str">
        <f>IF(GRAL.!N9&lt;51,GRAL.!N9," ")</f>
        <v xml:space="preserve"> </v>
      </c>
      <c r="G8" s="119" t="str">
        <f>IF(GRAL.!Q9&lt;51,GRAL.!Q9," ")</f>
        <v xml:space="preserve"> </v>
      </c>
      <c r="H8" s="119" t="str">
        <f>IF(GRAL.!T9&lt;51,GRAL.!T9," ")</f>
        <v xml:space="preserve"> </v>
      </c>
      <c r="I8" s="119" t="str">
        <f>IF(GRAL.!W9&lt;51,GRAL.!W9," ")</f>
        <v xml:space="preserve"> </v>
      </c>
      <c r="J8" s="119" t="str">
        <f>IF(GRAL.!Z9&lt;51,GRAL.!Z9," ")</f>
        <v xml:space="preserve"> </v>
      </c>
      <c r="K8" s="119" t="str">
        <f>IF(GRAL.!AC9&lt;51,GRAL.!AC9," ")</f>
        <v xml:space="preserve"> </v>
      </c>
      <c r="L8" s="119" t="str">
        <f>IF(GRAL.!AF9&lt;51,GRAL.!AF9," ")</f>
        <v xml:space="preserve"> </v>
      </c>
      <c r="M8" s="121" t="str">
        <f>IF(GRAL.!AI9&lt;51,GRAL.!AI9," ")</f>
        <v xml:space="preserve"> </v>
      </c>
      <c r="N8" s="122" t="str">
        <f t="shared" si="0"/>
        <v xml:space="preserve"> </v>
      </c>
      <c r="P8" s="139" t="str">
        <f>'REP 1°'!N8</f>
        <v xml:space="preserve"> </v>
      </c>
      <c r="Q8" s="139" t="str">
        <f>'REP 2°'!N8</f>
        <v xml:space="preserve"> </v>
      </c>
    </row>
    <row r="9" spans="1:19" ht="18.75">
      <c r="A9" s="48">
        <f>NOMINA!A11</f>
        <v>6</v>
      </c>
      <c r="B9" s="197" t="str">
        <f>NOMINA!B11</f>
        <v>BOLIVAR REVOLLO NIVARDO ADOLFO</v>
      </c>
      <c r="C9" s="127" t="str">
        <f>IF(GRAL.!E10&lt;51,GRAL.!E10," ")</f>
        <v xml:space="preserve"> </v>
      </c>
      <c r="D9" s="119" t="str">
        <f>IF(GRAL.!H10&lt;51,GRAL.!H10," ")</f>
        <v xml:space="preserve"> </v>
      </c>
      <c r="E9" s="119" t="str">
        <f>IF(GRAL.!K10&lt;51,GRAL.!K10," ")</f>
        <v xml:space="preserve"> </v>
      </c>
      <c r="F9" s="119" t="str">
        <f>IF(GRAL.!N10&lt;51,GRAL.!N10," ")</f>
        <v xml:space="preserve"> </v>
      </c>
      <c r="G9" s="119" t="str">
        <f>IF(GRAL.!Q10&lt;51,GRAL.!Q10," ")</f>
        <v xml:space="preserve"> </v>
      </c>
      <c r="H9" s="119" t="str">
        <f>IF(GRAL.!T10&lt;51,GRAL.!T10," ")</f>
        <v xml:space="preserve"> </v>
      </c>
      <c r="I9" s="119" t="str">
        <f>IF(GRAL.!W10&lt;51,GRAL.!W10," ")</f>
        <v xml:space="preserve"> </v>
      </c>
      <c r="J9" s="119" t="str">
        <f>IF(GRAL.!Z10&lt;51,GRAL.!Z10," ")</f>
        <v xml:space="preserve"> </v>
      </c>
      <c r="K9" s="119" t="str">
        <f>IF(GRAL.!AC10&lt;51,GRAL.!AC10," ")</f>
        <v xml:space="preserve"> </v>
      </c>
      <c r="L9" s="119" t="str">
        <f>IF(GRAL.!AF10&lt;51,GRAL.!AF10," ")</f>
        <v xml:space="preserve"> </v>
      </c>
      <c r="M9" s="121" t="str">
        <f>IF(GRAL.!AI10&lt;51,GRAL.!AI10," ")</f>
        <v xml:space="preserve"> </v>
      </c>
      <c r="N9" s="122" t="str">
        <f t="shared" si="0"/>
        <v xml:space="preserve"> </v>
      </c>
      <c r="P9" s="139">
        <f>'REP 1°'!N9</f>
        <v>2</v>
      </c>
      <c r="Q9" s="139" t="str">
        <f>'REP 2°'!N9</f>
        <v xml:space="preserve"> </v>
      </c>
    </row>
    <row r="10" spans="1:19" ht="18.75">
      <c r="A10" s="48">
        <f>NOMINA!A12</f>
        <v>7</v>
      </c>
      <c r="B10" s="197" t="str">
        <f>NOMINA!B12</f>
        <v>CADIMA SOLIZ NICOLAS</v>
      </c>
      <c r="C10" s="127" t="str">
        <f>IF(GRAL.!E11&lt;51,GRAL.!E11," ")</f>
        <v xml:space="preserve"> </v>
      </c>
      <c r="D10" s="119" t="str">
        <f>IF(GRAL.!H11&lt;51,GRAL.!H11," ")</f>
        <v xml:space="preserve"> </v>
      </c>
      <c r="E10" s="119" t="str">
        <f>IF(GRAL.!K11&lt;51,GRAL.!K11," ")</f>
        <v xml:space="preserve"> </v>
      </c>
      <c r="F10" s="119" t="str">
        <f>IF(GRAL.!N11&lt;51,GRAL.!N11," ")</f>
        <v xml:space="preserve"> </v>
      </c>
      <c r="G10" s="119" t="str">
        <f>IF(GRAL.!Q11&lt;51,GRAL.!Q11," ")</f>
        <v xml:space="preserve"> </v>
      </c>
      <c r="H10" s="119" t="str">
        <f>IF(GRAL.!T11&lt;51,GRAL.!T11," ")</f>
        <v xml:space="preserve"> </v>
      </c>
      <c r="I10" s="119" t="str">
        <f>IF(GRAL.!W11&lt;51,GRAL.!W11," ")</f>
        <v xml:space="preserve"> </v>
      </c>
      <c r="J10" s="119" t="str">
        <f>IF(GRAL.!Z11&lt;51,GRAL.!Z11," ")</f>
        <v xml:space="preserve"> </v>
      </c>
      <c r="K10" s="119" t="str">
        <f>IF(GRAL.!AC11&lt;51,GRAL.!AC11," ")</f>
        <v xml:space="preserve"> </v>
      </c>
      <c r="L10" s="119" t="str">
        <f>IF(GRAL.!AF11&lt;51,GRAL.!AF11," ")</f>
        <v xml:space="preserve"> </v>
      </c>
      <c r="M10" s="121" t="str">
        <f>IF(GRAL.!AI11&lt;51,GRAL.!AI11," ")</f>
        <v xml:space="preserve"> </v>
      </c>
      <c r="N10" s="122" t="str">
        <f t="shared" si="0"/>
        <v xml:space="preserve"> </v>
      </c>
      <c r="P10" s="139">
        <f>'REP 1°'!N10</f>
        <v>4</v>
      </c>
      <c r="Q10" s="139" t="str">
        <f>'REP 2°'!N10</f>
        <v xml:space="preserve"> </v>
      </c>
    </row>
    <row r="11" spans="1:19" ht="18.75">
      <c r="A11" s="48">
        <f>NOMINA!A13</f>
        <v>8</v>
      </c>
      <c r="B11" s="197" t="str">
        <f>NOMINA!B13</f>
        <v>CALLE PEREZ ANDREA BELEN</v>
      </c>
      <c r="C11" s="127" t="str">
        <f>IF(GRAL.!E12&lt;51,GRAL.!E12," ")</f>
        <v xml:space="preserve"> </v>
      </c>
      <c r="D11" s="119" t="str">
        <f>IF(GRAL.!H12&lt;51,GRAL.!H12," ")</f>
        <v xml:space="preserve"> </v>
      </c>
      <c r="E11" s="119" t="str">
        <f>IF(GRAL.!K12&lt;51,GRAL.!K12," ")</f>
        <v xml:space="preserve"> </v>
      </c>
      <c r="F11" s="119" t="str">
        <f>IF(GRAL.!N12&lt;51,GRAL.!N12," ")</f>
        <v xml:space="preserve"> </v>
      </c>
      <c r="G11" s="119" t="str">
        <f>IF(GRAL.!Q12&lt;51,GRAL.!Q12," ")</f>
        <v xml:space="preserve"> </v>
      </c>
      <c r="H11" s="119" t="str">
        <f>IF(GRAL.!T12&lt;51,GRAL.!T12," ")</f>
        <v xml:space="preserve"> </v>
      </c>
      <c r="I11" s="119" t="str">
        <f>IF(GRAL.!W12&lt;51,GRAL.!W12," ")</f>
        <v xml:space="preserve"> </v>
      </c>
      <c r="J11" s="119" t="str">
        <f>IF(GRAL.!Z12&lt;51,GRAL.!Z12," ")</f>
        <v xml:space="preserve"> </v>
      </c>
      <c r="K11" s="119" t="str">
        <f>IF(GRAL.!AC12&lt;51,GRAL.!AC12," ")</f>
        <v xml:space="preserve"> </v>
      </c>
      <c r="L11" s="119" t="str">
        <f>IF(GRAL.!AF12&lt;51,GRAL.!AF12," ")</f>
        <v xml:space="preserve"> </v>
      </c>
      <c r="M11" s="121" t="str">
        <f>IF(GRAL.!AI12&lt;51,GRAL.!AI12," ")</f>
        <v xml:space="preserve"> </v>
      </c>
      <c r="N11" s="122" t="str">
        <f t="shared" si="0"/>
        <v xml:space="preserve"> </v>
      </c>
      <c r="P11" s="139" t="str">
        <f>'REP 1°'!N11</f>
        <v xml:space="preserve"> </v>
      </c>
      <c r="Q11" s="139" t="str">
        <f>'REP 2°'!N11</f>
        <v xml:space="preserve"> </v>
      </c>
    </row>
    <row r="12" spans="1:19" ht="18.75">
      <c r="A12" s="48">
        <f>NOMINA!A14</f>
        <v>9</v>
      </c>
      <c r="B12" s="197" t="str">
        <f>NOMINA!B14</f>
        <v>CHAVEZ AMURRIO SEBASTIAN FABIAN</v>
      </c>
      <c r="C12" s="127" t="str">
        <f>IF(GRAL.!E13&lt;51,GRAL.!E13," ")</f>
        <v xml:space="preserve"> </v>
      </c>
      <c r="D12" s="119" t="str">
        <f>IF(GRAL.!H13&lt;51,GRAL.!H13," ")</f>
        <v xml:space="preserve"> </v>
      </c>
      <c r="E12" s="119" t="str">
        <f>IF(GRAL.!K13&lt;51,GRAL.!K13," ")</f>
        <v xml:space="preserve"> </v>
      </c>
      <c r="F12" s="119" t="str">
        <f>IF(GRAL.!N13&lt;51,GRAL.!N13," ")</f>
        <v xml:space="preserve"> </v>
      </c>
      <c r="G12" s="119" t="str">
        <f>IF(GRAL.!Q13&lt;51,GRAL.!Q13," ")</f>
        <v xml:space="preserve"> </v>
      </c>
      <c r="H12" s="119" t="str">
        <f>IF(GRAL.!T13&lt;51,GRAL.!T13," ")</f>
        <v xml:space="preserve"> </v>
      </c>
      <c r="I12" s="119" t="str">
        <f>IF(GRAL.!W13&lt;51,GRAL.!W13," ")</f>
        <v xml:space="preserve"> </v>
      </c>
      <c r="J12" s="119" t="str">
        <f>IF(GRAL.!Z13&lt;51,GRAL.!Z13," ")</f>
        <v xml:space="preserve"> </v>
      </c>
      <c r="K12" s="119" t="str">
        <f>IF(GRAL.!AC13&lt;51,GRAL.!AC13," ")</f>
        <v xml:space="preserve"> </v>
      </c>
      <c r="L12" s="119" t="str">
        <f>IF(GRAL.!AF13&lt;51,GRAL.!AF13," ")</f>
        <v xml:space="preserve"> </v>
      </c>
      <c r="M12" s="121" t="str">
        <f>IF(GRAL.!AI13&lt;51,GRAL.!AI13," ")</f>
        <v xml:space="preserve"> </v>
      </c>
      <c r="N12" s="122" t="str">
        <f t="shared" si="0"/>
        <v xml:space="preserve"> </v>
      </c>
      <c r="P12" s="139">
        <f>'REP 1°'!N12</f>
        <v>7</v>
      </c>
      <c r="Q12" s="139" t="str">
        <f>'REP 2°'!N12</f>
        <v xml:space="preserve"> </v>
      </c>
    </row>
    <row r="13" spans="1:19" ht="18.75">
      <c r="A13" s="48">
        <f>NOMINA!A15</f>
        <v>10</v>
      </c>
      <c r="B13" s="197" t="str">
        <f>NOMINA!B15</f>
        <v>CHOQUE ARISPE YURIANA LUCIA</v>
      </c>
      <c r="C13" s="127" t="str">
        <f>IF(GRAL.!E14&lt;51,GRAL.!E14," ")</f>
        <v xml:space="preserve"> </v>
      </c>
      <c r="D13" s="119" t="str">
        <f>IF(GRAL.!H14&lt;51,GRAL.!H14," ")</f>
        <v xml:space="preserve"> </v>
      </c>
      <c r="E13" s="119" t="str">
        <f>IF(GRAL.!K14&lt;51,GRAL.!K14," ")</f>
        <v xml:space="preserve"> </v>
      </c>
      <c r="F13" s="119" t="str">
        <f>IF(GRAL.!N14&lt;51,GRAL.!N14," ")</f>
        <v xml:space="preserve"> </v>
      </c>
      <c r="G13" s="119" t="str">
        <f>IF(GRAL.!Q14&lt;51,GRAL.!Q14," ")</f>
        <v xml:space="preserve"> </v>
      </c>
      <c r="H13" s="119" t="str">
        <f>IF(GRAL.!T14&lt;51,GRAL.!T14," ")</f>
        <v xml:space="preserve"> </v>
      </c>
      <c r="I13" s="119" t="str">
        <f>IF(GRAL.!W14&lt;51,GRAL.!W14," ")</f>
        <v xml:space="preserve"> </v>
      </c>
      <c r="J13" s="119" t="str">
        <f>IF(GRAL.!Z14&lt;51,GRAL.!Z14," ")</f>
        <v xml:space="preserve"> </v>
      </c>
      <c r="K13" s="119" t="str">
        <f>IF(GRAL.!AC14&lt;51,GRAL.!AC14," ")</f>
        <v xml:space="preserve"> </v>
      </c>
      <c r="L13" s="119" t="str">
        <f>IF(GRAL.!AF14&lt;51,GRAL.!AF14," ")</f>
        <v xml:space="preserve"> </v>
      </c>
      <c r="M13" s="121" t="str">
        <f>IF(GRAL.!AI14&lt;51,GRAL.!AI14," ")</f>
        <v xml:space="preserve"> </v>
      </c>
      <c r="N13" s="122" t="str">
        <f t="shared" si="0"/>
        <v xml:space="preserve"> </v>
      </c>
      <c r="P13" s="139">
        <f>'REP 1°'!N13</f>
        <v>1</v>
      </c>
      <c r="Q13" s="139" t="str">
        <f>'REP 2°'!N13</f>
        <v xml:space="preserve"> </v>
      </c>
    </row>
    <row r="14" spans="1:19" ht="18.75">
      <c r="A14" s="48">
        <f>NOMINA!A16</f>
        <v>11</v>
      </c>
      <c r="B14" s="197" t="str">
        <f>NOMINA!B16</f>
        <v>CHOQUE PERALTA JHOEL ELIAZAR</v>
      </c>
      <c r="C14" s="127" t="str">
        <f>IF(GRAL.!E15&lt;51,GRAL.!E15," ")</f>
        <v xml:space="preserve"> </v>
      </c>
      <c r="D14" s="119" t="str">
        <f>IF(GRAL.!H15&lt;51,GRAL.!H15," ")</f>
        <v xml:space="preserve"> </v>
      </c>
      <c r="E14" s="119" t="str">
        <f>IF(GRAL.!K15&lt;51,GRAL.!K15," ")</f>
        <v xml:space="preserve"> </v>
      </c>
      <c r="F14" s="119" t="str">
        <f>IF(GRAL.!N15&lt;51,GRAL.!N15," ")</f>
        <v xml:space="preserve"> </v>
      </c>
      <c r="G14" s="119" t="str">
        <f>IF(GRAL.!Q15&lt;51,GRAL.!Q15," ")</f>
        <v xml:space="preserve"> </v>
      </c>
      <c r="H14" s="119" t="str">
        <f>IF(GRAL.!T15&lt;51,GRAL.!T15," ")</f>
        <v xml:space="preserve"> </v>
      </c>
      <c r="I14" s="119" t="str">
        <f>IF(GRAL.!W15&lt;51,GRAL.!W15," ")</f>
        <v xml:space="preserve"> </v>
      </c>
      <c r="J14" s="119" t="str">
        <f>IF(GRAL.!Z15&lt;51,GRAL.!Z15," ")</f>
        <v xml:space="preserve"> </v>
      </c>
      <c r="K14" s="119" t="str">
        <f>IF(GRAL.!AC15&lt;51,GRAL.!AC15," ")</f>
        <v xml:space="preserve"> </v>
      </c>
      <c r="L14" s="119" t="str">
        <f>IF(GRAL.!AF15&lt;51,GRAL.!AF15," ")</f>
        <v xml:space="preserve"> </v>
      </c>
      <c r="M14" s="121" t="str">
        <f>IF(GRAL.!AI15&lt;51,GRAL.!AI15," ")</f>
        <v xml:space="preserve"> </v>
      </c>
      <c r="N14" s="122" t="str">
        <f t="shared" si="0"/>
        <v xml:space="preserve"> </v>
      </c>
      <c r="P14" s="139" t="str">
        <f>'REP 1°'!N14</f>
        <v xml:space="preserve"> </v>
      </c>
      <c r="Q14" s="139" t="str">
        <f>'REP 2°'!N14</f>
        <v xml:space="preserve"> </v>
      </c>
    </row>
    <row r="15" spans="1:19" ht="18" customHeight="1">
      <c r="A15" s="48">
        <f>NOMINA!A17</f>
        <v>12</v>
      </c>
      <c r="B15" s="197" t="str">
        <f>NOMINA!B17</f>
        <v>COPA RIVERO MARCIA MARCELA</v>
      </c>
      <c r="C15" s="127" t="str">
        <f>IF(GRAL.!E16&lt;51,GRAL.!E16," ")</f>
        <v xml:space="preserve"> </v>
      </c>
      <c r="D15" s="119" t="str">
        <f>IF(GRAL.!H16&lt;51,GRAL.!H16," ")</f>
        <v xml:space="preserve"> </v>
      </c>
      <c r="E15" s="119" t="str">
        <f>IF(GRAL.!K16&lt;51,GRAL.!K16," ")</f>
        <v xml:space="preserve"> </v>
      </c>
      <c r="F15" s="119" t="str">
        <f>IF(GRAL.!N16&lt;51,GRAL.!N16," ")</f>
        <v xml:space="preserve"> </v>
      </c>
      <c r="G15" s="119" t="str">
        <f>IF(GRAL.!Q16&lt;51,GRAL.!Q16," ")</f>
        <v xml:space="preserve"> </v>
      </c>
      <c r="H15" s="119" t="str">
        <f>IF(GRAL.!T16&lt;51,GRAL.!T16," ")</f>
        <v xml:space="preserve"> </v>
      </c>
      <c r="I15" s="119" t="str">
        <f>IF(GRAL.!W16&lt;51,GRAL.!W16," ")</f>
        <v xml:space="preserve"> </v>
      </c>
      <c r="J15" s="119" t="str">
        <f>IF(GRAL.!Z16&lt;51,GRAL.!Z16," ")</f>
        <v xml:space="preserve"> </v>
      </c>
      <c r="K15" s="119" t="str">
        <f>IF(GRAL.!AC16&lt;51,GRAL.!AC16," ")</f>
        <v xml:space="preserve"> </v>
      </c>
      <c r="L15" s="119" t="str">
        <f>IF(GRAL.!AF16&lt;51,GRAL.!AF16," ")</f>
        <v xml:space="preserve"> </v>
      </c>
      <c r="M15" s="121" t="str">
        <f>IF(GRAL.!AI16&lt;51,GRAL.!AI16," ")</f>
        <v xml:space="preserve"> </v>
      </c>
      <c r="N15" s="122" t="str">
        <f t="shared" si="0"/>
        <v xml:space="preserve"> </v>
      </c>
      <c r="P15" s="139">
        <f>'REP 1°'!N15</f>
        <v>1</v>
      </c>
      <c r="Q15" s="139" t="str">
        <f>'REP 2°'!N15</f>
        <v xml:space="preserve"> </v>
      </c>
    </row>
    <row r="16" spans="1:19" ht="18.75">
      <c r="A16" s="48">
        <f>NOMINA!A18</f>
        <v>13</v>
      </c>
      <c r="B16" s="197" t="str">
        <f>NOMINA!B18</f>
        <v>CORIA URUÑO CHRISTOPER GABRIEL</v>
      </c>
      <c r="C16" s="127" t="str">
        <f>IF(GRAL.!E17&lt;51,GRAL.!E17," ")</f>
        <v xml:space="preserve"> </v>
      </c>
      <c r="D16" s="119" t="str">
        <f>IF(GRAL.!H17&lt;51,GRAL.!H17," ")</f>
        <v xml:space="preserve"> </v>
      </c>
      <c r="E16" s="119" t="str">
        <f>IF(GRAL.!K17&lt;51,GRAL.!K17," ")</f>
        <v xml:space="preserve"> </v>
      </c>
      <c r="F16" s="119" t="str">
        <f>IF(GRAL.!N17&lt;51,GRAL.!N17," ")</f>
        <v xml:space="preserve"> </v>
      </c>
      <c r="G16" s="119" t="str">
        <f>IF(GRAL.!Q17&lt;51,GRAL.!Q17," ")</f>
        <v xml:space="preserve"> </v>
      </c>
      <c r="H16" s="119" t="str">
        <f>IF(GRAL.!T17&lt;51,GRAL.!T17," ")</f>
        <v xml:space="preserve"> </v>
      </c>
      <c r="I16" s="119" t="str">
        <f>IF(GRAL.!W17&lt;51,GRAL.!W17," ")</f>
        <v xml:space="preserve"> </v>
      </c>
      <c r="J16" s="119" t="str">
        <f>IF(GRAL.!Z17&lt;51,GRAL.!Z17," ")</f>
        <v xml:space="preserve"> </v>
      </c>
      <c r="K16" s="119" t="str">
        <f>IF(GRAL.!AC17&lt;51,GRAL.!AC17," ")</f>
        <v xml:space="preserve"> </v>
      </c>
      <c r="L16" s="119" t="str">
        <f>IF(GRAL.!AF17&lt;51,GRAL.!AF17," ")</f>
        <v xml:space="preserve"> </v>
      </c>
      <c r="M16" s="121" t="str">
        <f>IF(GRAL.!AI17&lt;51,GRAL.!AI17," ")</f>
        <v xml:space="preserve"> </v>
      </c>
      <c r="N16" s="122" t="str">
        <f t="shared" si="0"/>
        <v xml:space="preserve"> </v>
      </c>
      <c r="P16" s="139" t="str">
        <f>'REP 1°'!N16</f>
        <v xml:space="preserve"> </v>
      </c>
      <c r="Q16" s="139" t="str">
        <f>'REP 2°'!N16</f>
        <v xml:space="preserve"> </v>
      </c>
    </row>
    <row r="17" spans="1:17" ht="18.75">
      <c r="A17" s="48">
        <f>NOMINA!A19</f>
        <v>14</v>
      </c>
      <c r="B17" s="197" t="str">
        <f>NOMINA!B19</f>
        <v>FLORES BALLESTEROS LEANDRO FRANK</v>
      </c>
      <c r="C17" s="127" t="str">
        <f>IF(GRAL.!E18&lt;51,GRAL.!E18," ")</f>
        <v xml:space="preserve"> </v>
      </c>
      <c r="D17" s="119" t="str">
        <f>IF(GRAL.!H18&lt;51,GRAL.!H18," ")</f>
        <v xml:space="preserve"> </v>
      </c>
      <c r="E17" s="119" t="str">
        <f>IF(GRAL.!K18&lt;51,GRAL.!K18," ")</f>
        <v xml:space="preserve"> </v>
      </c>
      <c r="F17" s="119" t="str">
        <f>IF(GRAL.!N18&lt;51,GRAL.!N18," ")</f>
        <v xml:space="preserve"> </v>
      </c>
      <c r="G17" s="119" t="str">
        <f>IF(GRAL.!Q18&lt;51,GRAL.!Q18," ")</f>
        <v xml:space="preserve"> </v>
      </c>
      <c r="H17" s="119" t="str">
        <f>IF(GRAL.!T18&lt;51,GRAL.!T18," ")</f>
        <v xml:space="preserve"> </v>
      </c>
      <c r="I17" s="119" t="str">
        <f>IF(GRAL.!W18&lt;51,GRAL.!W18," ")</f>
        <v xml:space="preserve"> </v>
      </c>
      <c r="J17" s="119" t="str">
        <f>IF(GRAL.!Z18&lt;51,GRAL.!Z18," ")</f>
        <v xml:space="preserve"> </v>
      </c>
      <c r="K17" s="119" t="str">
        <f>IF(GRAL.!AC18&lt;51,GRAL.!AC18," ")</f>
        <v xml:space="preserve"> </v>
      </c>
      <c r="L17" s="119" t="str">
        <f>IF(GRAL.!AF18&lt;51,GRAL.!AF18," ")</f>
        <v xml:space="preserve"> </v>
      </c>
      <c r="M17" s="121" t="str">
        <f>IF(GRAL.!AI18&lt;51,GRAL.!AI18," ")</f>
        <v xml:space="preserve"> </v>
      </c>
      <c r="N17" s="122" t="str">
        <f t="shared" si="0"/>
        <v xml:space="preserve"> </v>
      </c>
      <c r="P17" s="139" t="str">
        <f>'REP 1°'!N17</f>
        <v xml:space="preserve"> </v>
      </c>
      <c r="Q17" s="139" t="str">
        <f>'REP 2°'!N17</f>
        <v xml:space="preserve"> </v>
      </c>
    </row>
    <row r="18" spans="1:17" ht="18.75">
      <c r="A18" s="48">
        <f>NOMINA!A20</f>
        <v>15</v>
      </c>
      <c r="B18" s="197" t="str">
        <f>NOMINA!B20</f>
        <v>GONZALES MOLINA ARIANET BELEN</v>
      </c>
      <c r="C18" s="127" t="str">
        <f>IF(GRAL.!E19&lt;51,GRAL.!E19," ")</f>
        <v xml:space="preserve"> </v>
      </c>
      <c r="D18" s="119" t="str">
        <f>IF(GRAL.!H19&lt;51,GRAL.!H19," ")</f>
        <v xml:space="preserve"> </v>
      </c>
      <c r="E18" s="119" t="str">
        <f>IF(GRAL.!K19&lt;51,GRAL.!K19," ")</f>
        <v xml:space="preserve"> </v>
      </c>
      <c r="F18" s="119" t="str">
        <f>IF(GRAL.!N19&lt;51,GRAL.!N19," ")</f>
        <v xml:space="preserve"> </v>
      </c>
      <c r="G18" s="119" t="str">
        <f>IF(GRAL.!Q19&lt;51,GRAL.!Q19," ")</f>
        <v xml:space="preserve"> </v>
      </c>
      <c r="H18" s="119" t="str">
        <f>IF(GRAL.!T19&lt;51,GRAL.!T19," ")</f>
        <v xml:space="preserve"> </v>
      </c>
      <c r="I18" s="119" t="str">
        <f>IF(GRAL.!W19&lt;51,GRAL.!W19," ")</f>
        <v xml:space="preserve"> </v>
      </c>
      <c r="J18" s="119" t="str">
        <f>IF(GRAL.!Z19&lt;51,GRAL.!Z19," ")</f>
        <v xml:space="preserve"> </v>
      </c>
      <c r="K18" s="119" t="str">
        <f>IF(GRAL.!AC19&lt;51,GRAL.!AC19," ")</f>
        <v xml:space="preserve"> </v>
      </c>
      <c r="L18" s="119" t="str">
        <f>IF(GRAL.!AF19&lt;51,GRAL.!AF19," ")</f>
        <v xml:space="preserve"> </v>
      </c>
      <c r="M18" s="121" t="str">
        <f>IF(GRAL.!AI19&lt;51,GRAL.!AI19," ")</f>
        <v xml:space="preserve"> </v>
      </c>
      <c r="N18" s="122" t="str">
        <f t="shared" si="0"/>
        <v xml:space="preserve"> </v>
      </c>
      <c r="P18" s="139" t="str">
        <f>'REP 1°'!N18</f>
        <v xml:space="preserve"> </v>
      </c>
      <c r="Q18" s="139" t="str">
        <f>'REP 2°'!N18</f>
        <v xml:space="preserve"> </v>
      </c>
    </row>
    <row r="19" spans="1:17" ht="18.75">
      <c r="A19" s="48">
        <f>NOMINA!A21</f>
        <v>16</v>
      </c>
      <c r="B19" s="197" t="str">
        <f>NOMINA!B21</f>
        <v>GUAQUIPA BECERRA NICOLAS ALEX</v>
      </c>
      <c r="C19" s="127" t="str">
        <f>IF(GRAL.!E20&lt;51,GRAL.!E20," ")</f>
        <v xml:space="preserve"> </v>
      </c>
      <c r="D19" s="119" t="str">
        <f>IF(GRAL.!H20&lt;51,GRAL.!H20," ")</f>
        <v xml:space="preserve"> </v>
      </c>
      <c r="E19" s="119" t="str">
        <f>IF(GRAL.!K20&lt;51,GRAL.!K20," ")</f>
        <v xml:space="preserve"> </v>
      </c>
      <c r="F19" s="119" t="str">
        <f>IF(GRAL.!N20&lt;51,GRAL.!N20," ")</f>
        <v xml:space="preserve"> </v>
      </c>
      <c r="G19" s="119" t="str">
        <f>IF(GRAL.!Q20&lt;51,GRAL.!Q20," ")</f>
        <v xml:space="preserve"> </v>
      </c>
      <c r="H19" s="119" t="str">
        <f>IF(GRAL.!T20&lt;51,GRAL.!T20," ")</f>
        <v xml:space="preserve"> </v>
      </c>
      <c r="I19" s="119" t="str">
        <f>IF(GRAL.!W20&lt;51,GRAL.!W20," ")</f>
        <v xml:space="preserve"> </v>
      </c>
      <c r="J19" s="119" t="str">
        <f>IF(GRAL.!Z20&lt;51,GRAL.!Z20," ")</f>
        <v xml:space="preserve"> </v>
      </c>
      <c r="K19" s="119" t="str">
        <f>IF(GRAL.!AC20&lt;51,GRAL.!AC20," ")</f>
        <v xml:space="preserve"> </v>
      </c>
      <c r="L19" s="119" t="str">
        <f>IF(GRAL.!AF20&lt;51,GRAL.!AF20," ")</f>
        <v xml:space="preserve"> </v>
      </c>
      <c r="M19" s="121" t="str">
        <f>IF(GRAL.!AI20&lt;51,GRAL.!AI20," ")</f>
        <v xml:space="preserve"> </v>
      </c>
      <c r="N19" s="122" t="str">
        <f t="shared" si="0"/>
        <v xml:space="preserve"> </v>
      </c>
      <c r="P19" s="139" t="str">
        <f>'REP 1°'!N19</f>
        <v xml:space="preserve"> </v>
      </c>
      <c r="Q19" s="139" t="str">
        <f>'REP 2°'!N19</f>
        <v xml:space="preserve"> </v>
      </c>
    </row>
    <row r="20" spans="1:17" ht="18.75">
      <c r="A20" s="48">
        <f>NOMINA!A22</f>
        <v>17</v>
      </c>
      <c r="B20" s="197" t="str">
        <f>NOMINA!B22</f>
        <v>HUANQUIRI MAMANI JHOSMAR</v>
      </c>
      <c r="C20" s="127" t="str">
        <f>IF(GRAL.!E21&lt;51,GRAL.!E21," ")</f>
        <v xml:space="preserve"> </v>
      </c>
      <c r="D20" s="119" t="str">
        <f>IF(GRAL.!H21&lt;51,GRAL.!H21," ")</f>
        <v xml:space="preserve"> </v>
      </c>
      <c r="E20" s="119" t="str">
        <f>IF(GRAL.!K21&lt;51,GRAL.!K21," ")</f>
        <v xml:space="preserve"> </v>
      </c>
      <c r="F20" s="119" t="str">
        <f>IF(GRAL.!N21&lt;51,GRAL.!N21," ")</f>
        <v xml:space="preserve"> </v>
      </c>
      <c r="G20" s="119" t="str">
        <f>IF(GRAL.!Q21&lt;51,GRAL.!Q21," ")</f>
        <v xml:space="preserve"> </v>
      </c>
      <c r="H20" s="119" t="str">
        <f>IF(GRAL.!T21&lt;51,GRAL.!T21," ")</f>
        <v xml:space="preserve"> </v>
      </c>
      <c r="I20" s="119" t="str">
        <f>IF(GRAL.!W21&lt;51,GRAL.!W21," ")</f>
        <v xml:space="preserve"> </v>
      </c>
      <c r="J20" s="119" t="str">
        <f>IF(GRAL.!Z21&lt;51,GRAL.!Z21," ")</f>
        <v xml:space="preserve"> </v>
      </c>
      <c r="K20" s="119" t="str">
        <f>IF(GRAL.!AC21&lt;51,GRAL.!AC21," ")</f>
        <v xml:space="preserve"> </v>
      </c>
      <c r="L20" s="119" t="str">
        <f>IF(GRAL.!AF21&lt;51,GRAL.!AF21," ")</f>
        <v xml:space="preserve"> </v>
      </c>
      <c r="M20" s="121" t="str">
        <f>IF(GRAL.!AI21&lt;51,GRAL.!AI21," ")</f>
        <v xml:space="preserve"> </v>
      </c>
      <c r="N20" s="122" t="str">
        <f t="shared" si="0"/>
        <v xml:space="preserve"> </v>
      </c>
      <c r="P20" s="139">
        <f>'REP 1°'!N20</f>
        <v>6</v>
      </c>
      <c r="Q20" s="139" t="str">
        <f>'REP 2°'!N20</f>
        <v xml:space="preserve"> </v>
      </c>
    </row>
    <row r="21" spans="1:17" ht="18.75">
      <c r="A21" s="48">
        <f>NOMINA!A23</f>
        <v>18</v>
      </c>
      <c r="B21" s="197" t="str">
        <f>NOMINA!B23</f>
        <v>JOVE ARNEZ ANDREA LUCIANA</v>
      </c>
      <c r="C21" s="127" t="str">
        <f>IF(GRAL.!E22&lt;51,GRAL.!E22," ")</f>
        <v xml:space="preserve"> </v>
      </c>
      <c r="D21" s="119" t="str">
        <f>IF(GRAL.!H22&lt;51,GRAL.!H22," ")</f>
        <v xml:space="preserve"> </v>
      </c>
      <c r="E21" s="119" t="str">
        <f>IF(GRAL.!K22&lt;51,GRAL.!K22," ")</f>
        <v xml:space="preserve"> </v>
      </c>
      <c r="F21" s="119" t="str">
        <f>IF(GRAL.!N22&lt;51,GRAL.!N22," ")</f>
        <v xml:space="preserve"> </v>
      </c>
      <c r="G21" s="119" t="str">
        <f>IF(GRAL.!Q22&lt;51,GRAL.!Q22," ")</f>
        <v xml:space="preserve"> </v>
      </c>
      <c r="H21" s="119" t="str">
        <f>IF(GRAL.!T22&lt;51,GRAL.!T22," ")</f>
        <v xml:space="preserve"> </v>
      </c>
      <c r="I21" s="119" t="str">
        <f>IF(GRAL.!W22&lt;51,GRAL.!W22," ")</f>
        <v xml:space="preserve"> </v>
      </c>
      <c r="J21" s="119" t="str">
        <f>IF(GRAL.!Z22&lt;51,GRAL.!Z22," ")</f>
        <v xml:space="preserve"> </v>
      </c>
      <c r="K21" s="119" t="str">
        <f>IF(GRAL.!AC22&lt;51,GRAL.!AC22," ")</f>
        <v xml:space="preserve"> </v>
      </c>
      <c r="L21" s="119" t="str">
        <f>IF(GRAL.!AF22&lt;51,GRAL.!AF22," ")</f>
        <v xml:space="preserve"> </v>
      </c>
      <c r="M21" s="121" t="str">
        <f>IF(GRAL.!AI22&lt;51,GRAL.!AI22," ")</f>
        <v xml:space="preserve"> </v>
      </c>
      <c r="N21" s="122" t="str">
        <f t="shared" si="0"/>
        <v xml:space="preserve"> </v>
      </c>
      <c r="P21" s="139">
        <f>'REP 1°'!N21</f>
        <v>3</v>
      </c>
      <c r="Q21" s="139" t="str">
        <f>'REP 2°'!N21</f>
        <v xml:space="preserve"> </v>
      </c>
    </row>
    <row r="22" spans="1:17" ht="18.75">
      <c r="A22" s="48">
        <f>NOMINA!A24</f>
        <v>19</v>
      </c>
      <c r="B22" s="197" t="str">
        <f>NOMINA!B24</f>
        <v>LAFUENTE ORTUÑO VICTORIA VALENTINA</v>
      </c>
      <c r="C22" s="127" t="str">
        <f>IF(GRAL.!E23&lt;51,GRAL.!E23," ")</f>
        <v xml:space="preserve"> </v>
      </c>
      <c r="D22" s="119" t="str">
        <f>IF(GRAL.!H23&lt;51,GRAL.!H23," ")</f>
        <v xml:space="preserve"> </v>
      </c>
      <c r="E22" s="119" t="str">
        <f>IF(GRAL.!K23&lt;51,GRAL.!K23," ")</f>
        <v xml:space="preserve"> </v>
      </c>
      <c r="F22" s="119" t="str">
        <f>IF(GRAL.!N23&lt;51,GRAL.!N23," ")</f>
        <v xml:space="preserve"> </v>
      </c>
      <c r="G22" s="119" t="str">
        <f>IF(GRAL.!Q23&lt;51,GRAL.!Q23," ")</f>
        <v xml:space="preserve"> </v>
      </c>
      <c r="H22" s="119" t="str">
        <f>IF(GRAL.!T23&lt;51,GRAL.!T23," ")</f>
        <v xml:space="preserve"> </v>
      </c>
      <c r="I22" s="119" t="str">
        <f>IF(GRAL.!W23&lt;51,GRAL.!W23," ")</f>
        <v xml:space="preserve"> </v>
      </c>
      <c r="J22" s="119" t="str">
        <f>IF(GRAL.!Z23&lt;51,GRAL.!Z23," ")</f>
        <v xml:space="preserve"> </v>
      </c>
      <c r="K22" s="119" t="str">
        <f>IF(GRAL.!AC23&lt;51,GRAL.!AC23," ")</f>
        <v xml:space="preserve"> </v>
      </c>
      <c r="L22" s="119" t="str">
        <f>IF(GRAL.!AF23&lt;51,GRAL.!AF23," ")</f>
        <v xml:space="preserve"> </v>
      </c>
      <c r="M22" s="121" t="str">
        <f>IF(GRAL.!AI23&lt;51,GRAL.!AI23," ")</f>
        <v xml:space="preserve"> </v>
      </c>
      <c r="N22" s="122" t="str">
        <f t="shared" si="0"/>
        <v xml:space="preserve"> </v>
      </c>
      <c r="P22" s="139">
        <f>'REP 1°'!N22</f>
        <v>4</v>
      </c>
      <c r="Q22" s="139" t="str">
        <f>'REP 2°'!N22</f>
        <v xml:space="preserve"> </v>
      </c>
    </row>
    <row r="23" spans="1:17" ht="18.75">
      <c r="A23" s="48">
        <f>NOMINA!A26</f>
        <v>21</v>
      </c>
      <c r="B23" s="197" t="str">
        <f>NOMINA!B26</f>
        <v>MERUVIA GUTIERREZ ASHLY SCARLETT</v>
      </c>
      <c r="C23" s="127" t="str">
        <f>IF(GRAL.!E24&lt;51,GRAL.!E24," ")</f>
        <v xml:space="preserve"> </v>
      </c>
      <c r="D23" s="119" t="str">
        <f>IF(GRAL.!H24&lt;51,GRAL.!H24," ")</f>
        <v xml:space="preserve"> </v>
      </c>
      <c r="E23" s="119" t="str">
        <f>IF(GRAL.!K24&lt;51,GRAL.!K24," ")</f>
        <v xml:space="preserve"> </v>
      </c>
      <c r="F23" s="119" t="str">
        <f>IF(GRAL.!N24&lt;51,GRAL.!N24," ")</f>
        <v xml:space="preserve"> </v>
      </c>
      <c r="G23" s="119" t="str">
        <f>IF(GRAL.!Q24&lt;51,GRAL.!Q24," ")</f>
        <v xml:space="preserve"> </v>
      </c>
      <c r="H23" s="119" t="str">
        <f>IF(GRAL.!T24&lt;51,GRAL.!T24," ")</f>
        <v xml:space="preserve"> </v>
      </c>
      <c r="I23" s="119" t="str">
        <f>IF(GRAL.!W24&lt;51,GRAL.!W24," ")</f>
        <v xml:space="preserve"> </v>
      </c>
      <c r="J23" s="119" t="str">
        <f>IF(GRAL.!Z24&lt;51,GRAL.!Z24," ")</f>
        <v xml:space="preserve"> </v>
      </c>
      <c r="K23" s="119" t="str">
        <f>IF(GRAL.!AC24&lt;51,GRAL.!AC24," ")</f>
        <v xml:space="preserve"> </v>
      </c>
      <c r="L23" s="119" t="str">
        <f>IF(GRAL.!AF24&lt;51,GRAL.!AF24," ")</f>
        <v xml:space="preserve"> </v>
      </c>
      <c r="M23" s="121" t="str">
        <f>IF(GRAL.!AI24&lt;51,GRAL.!AI24," ")</f>
        <v xml:space="preserve"> </v>
      </c>
      <c r="N23" s="122" t="str">
        <f t="shared" si="0"/>
        <v xml:space="preserve"> </v>
      </c>
      <c r="P23" s="139">
        <f>'REP 1°'!N23</f>
        <v>1</v>
      </c>
      <c r="Q23" s="139" t="str">
        <f>'REP 2°'!N23</f>
        <v xml:space="preserve"> </v>
      </c>
    </row>
    <row r="24" spans="1:17" ht="18.75">
      <c r="A24" s="48">
        <f>NOMINA!A27</f>
        <v>22</v>
      </c>
      <c r="B24" s="197" t="str">
        <f>NOMINA!B27</f>
        <v>MONTAÑO QUILO BENJAMIN GONZALO</v>
      </c>
      <c r="C24" s="127" t="str">
        <f>IF(GRAL.!E25&lt;51,GRAL.!E25," ")</f>
        <v xml:space="preserve"> </v>
      </c>
      <c r="D24" s="119" t="str">
        <f>IF(GRAL.!H25&lt;51,GRAL.!H25," ")</f>
        <v xml:space="preserve"> </v>
      </c>
      <c r="E24" s="119" t="str">
        <f>IF(GRAL.!K25&lt;51,GRAL.!K25," ")</f>
        <v xml:space="preserve"> </v>
      </c>
      <c r="F24" s="119" t="str">
        <f>IF(GRAL.!N25&lt;51,GRAL.!N25," ")</f>
        <v xml:space="preserve"> </v>
      </c>
      <c r="G24" s="119" t="str">
        <f>IF(GRAL.!Q25&lt;51,GRAL.!Q25," ")</f>
        <v xml:space="preserve"> </v>
      </c>
      <c r="H24" s="119" t="str">
        <f>IF(GRAL.!T25&lt;51,GRAL.!T25," ")</f>
        <v xml:space="preserve"> </v>
      </c>
      <c r="I24" s="119" t="str">
        <f>IF(GRAL.!W25&lt;51,GRAL.!W25," ")</f>
        <v xml:space="preserve"> </v>
      </c>
      <c r="J24" s="119" t="str">
        <f>IF(GRAL.!Z25&lt;51,GRAL.!Z25," ")</f>
        <v xml:space="preserve"> </v>
      </c>
      <c r="K24" s="119" t="str">
        <f>IF(GRAL.!AC25&lt;51,GRAL.!AC25," ")</f>
        <v xml:space="preserve"> </v>
      </c>
      <c r="L24" s="119" t="str">
        <f>IF(GRAL.!AF25&lt;51,GRAL.!AF25," ")</f>
        <v xml:space="preserve"> </v>
      </c>
      <c r="M24" s="121" t="str">
        <f>IF(GRAL.!AI25&lt;51,GRAL.!AI25," ")</f>
        <v xml:space="preserve"> </v>
      </c>
      <c r="N24" s="122" t="str">
        <f t="shared" si="0"/>
        <v xml:space="preserve"> </v>
      </c>
      <c r="P24" s="139" t="str">
        <f>'REP 1°'!N24</f>
        <v xml:space="preserve"> </v>
      </c>
      <c r="Q24" s="139" t="str">
        <f>'REP 2°'!N24</f>
        <v xml:space="preserve"> </v>
      </c>
    </row>
    <row r="25" spans="1:17" ht="18.75">
      <c r="A25" s="48">
        <f>NOMINA!A28</f>
        <v>23</v>
      </c>
      <c r="B25" s="197" t="str">
        <f>NOMINA!B28</f>
        <v>PANIAGUA VARGAS KEYLA</v>
      </c>
      <c r="C25" s="127" t="str">
        <f>IF(GRAL.!E26&lt;51,GRAL.!E26," ")</f>
        <v xml:space="preserve"> </v>
      </c>
      <c r="D25" s="119" t="str">
        <f>IF(GRAL.!H26&lt;51,GRAL.!H26," ")</f>
        <v xml:space="preserve"> </v>
      </c>
      <c r="E25" s="119" t="str">
        <f>IF(GRAL.!K26&lt;51,GRAL.!K26," ")</f>
        <v xml:space="preserve"> </v>
      </c>
      <c r="F25" s="119" t="str">
        <f>IF(GRAL.!N26&lt;51,GRAL.!N26," ")</f>
        <v xml:space="preserve"> </v>
      </c>
      <c r="G25" s="119" t="str">
        <f>IF(GRAL.!Q26&lt;51,GRAL.!Q26," ")</f>
        <v xml:space="preserve"> </v>
      </c>
      <c r="H25" s="119" t="str">
        <f>IF(GRAL.!T26&lt;51,GRAL.!T26," ")</f>
        <v xml:space="preserve"> </v>
      </c>
      <c r="I25" s="119" t="str">
        <f>IF(GRAL.!W26&lt;51,GRAL.!W26," ")</f>
        <v xml:space="preserve"> </v>
      </c>
      <c r="J25" s="119" t="str">
        <f>IF(GRAL.!Z26&lt;51,GRAL.!Z26," ")</f>
        <v xml:space="preserve"> </v>
      </c>
      <c r="K25" s="119" t="str">
        <f>IF(GRAL.!AC26&lt;51,GRAL.!AC26," ")</f>
        <v xml:space="preserve"> </v>
      </c>
      <c r="L25" s="119" t="str">
        <f>IF(GRAL.!AF26&lt;51,GRAL.!AF26," ")</f>
        <v xml:space="preserve"> </v>
      </c>
      <c r="M25" s="121" t="str">
        <f>IF(GRAL.!AI26&lt;51,GRAL.!AI26," ")</f>
        <v xml:space="preserve"> </v>
      </c>
      <c r="N25" s="122" t="str">
        <f t="shared" si="0"/>
        <v xml:space="preserve"> </v>
      </c>
      <c r="P25" s="139">
        <f>'REP 1°'!N25</f>
        <v>6</v>
      </c>
      <c r="Q25" s="139" t="str">
        <f>'REP 2°'!N25</f>
        <v xml:space="preserve"> </v>
      </c>
    </row>
    <row r="26" spans="1:17" ht="18.75">
      <c r="A26" s="48">
        <f>NOMINA!A29</f>
        <v>24</v>
      </c>
      <c r="B26" s="197" t="str">
        <f>NOMINA!B29</f>
        <v>PATZI GUARACHI MARIA BELEN</v>
      </c>
      <c r="C26" s="127" t="str">
        <f>IF(GRAL.!E27&lt;51,GRAL.!E27," ")</f>
        <v xml:space="preserve"> </v>
      </c>
      <c r="D26" s="119" t="str">
        <f>IF(GRAL.!H27&lt;51,GRAL.!H27," ")</f>
        <v xml:space="preserve"> </v>
      </c>
      <c r="E26" s="119" t="str">
        <f>IF(GRAL.!K27&lt;51,GRAL.!K27," ")</f>
        <v xml:space="preserve"> </v>
      </c>
      <c r="F26" s="119" t="str">
        <f>IF(GRAL.!N27&lt;51,GRAL.!N27," ")</f>
        <v xml:space="preserve"> </v>
      </c>
      <c r="G26" s="119" t="str">
        <f>IF(GRAL.!Q27&lt;51,GRAL.!Q27," ")</f>
        <v xml:space="preserve"> </v>
      </c>
      <c r="H26" s="119" t="str">
        <f>IF(GRAL.!T27&lt;51,GRAL.!T27," ")</f>
        <v xml:space="preserve"> </v>
      </c>
      <c r="I26" s="119" t="str">
        <f>IF(GRAL.!W27&lt;51,GRAL.!W27," ")</f>
        <v xml:space="preserve"> </v>
      </c>
      <c r="J26" s="119" t="str">
        <f>IF(GRAL.!Z27&lt;51,GRAL.!Z27," ")</f>
        <v xml:space="preserve"> </v>
      </c>
      <c r="K26" s="119" t="str">
        <f>IF(GRAL.!AC27&lt;51,GRAL.!AC27," ")</f>
        <v xml:space="preserve"> </v>
      </c>
      <c r="L26" s="119" t="str">
        <f>IF(GRAL.!AF27&lt;51,GRAL.!AF27," ")</f>
        <v xml:space="preserve"> </v>
      </c>
      <c r="M26" s="121" t="str">
        <f>IF(GRAL.!AI27&lt;51,GRAL.!AI27," ")</f>
        <v xml:space="preserve"> </v>
      </c>
      <c r="N26" s="122" t="str">
        <f t="shared" si="0"/>
        <v xml:space="preserve"> </v>
      </c>
      <c r="P26" s="139" t="str">
        <f>'REP 1°'!N26</f>
        <v xml:space="preserve"> </v>
      </c>
      <c r="Q26" s="139" t="str">
        <f>'REP 2°'!N26</f>
        <v xml:space="preserve"> </v>
      </c>
    </row>
    <row r="27" spans="1:17" ht="18.75">
      <c r="A27" s="48">
        <f>NOMINA!A30</f>
        <v>25</v>
      </c>
      <c r="B27" s="197" t="str">
        <f>NOMINA!B30</f>
        <v>QUENALLATA CESPEDES LUMAIDA YANISS</v>
      </c>
      <c r="C27" s="127" t="str">
        <f>IF(GRAL.!E28&lt;51,GRAL.!E28," ")</f>
        <v xml:space="preserve"> </v>
      </c>
      <c r="D27" s="119" t="str">
        <f>IF(GRAL.!H28&lt;51,GRAL.!H28," ")</f>
        <v xml:space="preserve"> </v>
      </c>
      <c r="E27" s="119" t="str">
        <f>IF(GRAL.!K28&lt;51,GRAL.!K28," ")</f>
        <v xml:space="preserve"> </v>
      </c>
      <c r="F27" s="119" t="str">
        <f>IF(GRAL.!N28&lt;51,GRAL.!N28," ")</f>
        <v xml:space="preserve"> </v>
      </c>
      <c r="G27" s="119" t="str">
        <f>IF(GRAL.!Q28&lt;51,GRAL.!Q28," ")</f>
        <v xml:space="preserve"> </v>
      </c>
      <c r="H27" s="119" t="str">
        <f>IF(GRAL.!T28&lt;51,GRAL.!T28," ")</f>
        <v xml:space="preserve"> </v>
      </c>
      <c r="I27" s="119" t="str">
        <f>IF(GRAL.!W28&lt;51,GRAL.!W28," ")</f>
        <v xml:space="preserve"> </v>
      </c>
      <c r="J27" s="119" t="str">
        <f>IF(GRAL.!Z28&lt;51,GRAL.!Z28," ")</f>
        <v xml:space="preserve"> </v>
      </c>
      <c r="K27" s="119" t="str">
        <f>IF(GRAL.!AC28&lt;51,GRAL.!AC28," ")</f>
        <v xml:space="preserve"> </v>
      </c>
      <c r="L27" s="119" t="str">
        <f>IF(GRAL.!AF28&lt;51,GRAL.!AF28," ")</f>
        <v xml:space="preserve"> </v>
      </c>
      <c r="M27" s="121" t="str">
        <f>IF(GRAL.!AI28&lt;51,GRAL.!AI28," ")</f>
        <v xml:space="preserve"> </v>
      </c>
      <c r="N27" s="122" t="str">
        <f t="shared" si="0"/>
        <v xml:space="preserve"> </v>
      </c>
      <c r="P27" s="139" t="str">
        <f>'REP 1°'!N27</f>
        <v xml:space="preserve"> </v>
      </c>
      <c r="Q27" s="139" t="str">
        <f>'REP 2°'!N27</f>
        <v xml:space="preserve"> </v>
      </c>
    </row>
    <row r="28" spans="1:17" ht="18.75">
      <c r="A28" s="48">
        <f>NOMINA!A31</f>
        <v>26</v>
      </c>
      <c r="B28" s="197" t="str">
        <f>NOMINA!B31</f>
        <v>QUISPE ESCARZA CIELO</v>
      </c>
      <c r="C28" s="127" t="str">
        <f>IF(GRAL.!E29&lt;51,GRAL.!E29," ")</f>
        <v xml:space="preserve"> </v>
      </c>
      <c r="D28" s="119" t="str">
        <f>IF(GRAL.!H29&lt;51,GRAL.!H29," ")</f>
        <v xml:space="preserve"> </v>
      </c>
      <c r="E28" s="119" t="str">
        <f>IF(GRAL.!K29&lt;51,GRAL.!K29," ")</f>
        <v xml:space="preserve"> </v>
      </c>
      <c r="F28" s="119" t="str">
        <f>IF(GRAL.!N29&lt;51,GRAL.!N29," ")</f>
        <v xml:space="preserve"> </v>
      </c>
      <c r="G28" s="119" t="str">
        <f>IF(GRAL.!Q29&lt;51,GRAL.!Q29," ")</f>
        <v xml:space="preserve"> </v>
      </c>
      <c r="H28" s="119" t="str">
        <f>IF(GRAL.!T29&lt;51,GRAL.!T29," ")</f>
        <v xml:space="preserve"> </v>
      </c>
      <c r="I28" s="119" t="str">
        <f>IF(GRAL.!W29&lt;51,GRAL.!W29," ")</f>
        <v xml:space="preserve"> </v>
      </c>
      <c r="J28" s="119" t="str">
        <f>IF(GRAL.!Z29&lt;51,GRAL.!Z29," ")</f>
        <v xml:space="preserve"> </v>
      </c>
      <c r="K28" s="119" t="str">
        <f>IF(GRAL.!AC29&lt;51,GRAL.!AC29," ")</f>
        <v xml:space="preserve"> </v>
      </c>
      <c r="L28" s="119" t="str">
        <f>IF(GRAL.!AF29&lt;51,GRAL.!AF29," ")</f>
        <v xml:space="preserve"> </v>
      </c>
      <c r="M28" s="121" t="str">
        <f>IF(GRAL.!AI29&lt;51,GRAL.!AI29," ")</f>
        <v xml:space="preserve"> </v>
      </c>
      <c r="N28" s="122" t="str">
        <f t="shared" si="0"/>
        <v xml:space="preserve"> </v>
      </c>
      <c r="P28" s="139">
        <f>'REP 1°'!N28</f>
        <v>4</v>
      </c>
      <c r="Q28" s="139" t="str">
        <f>'REP 2°'!N28</f>
        <v xml:space="preserve"> </v>
      </c>
    </row>
    <row r="29" spans="1:17" ht="18.75">
      <c r="A29" s="48">
        <f>NOMINA!A32</f>
        <v>27</v>
      </c>
      <c r="B29" s="197" t="str">
        <f>NOMINA!B32</f>
        <v>QUISPE MILAN ADRIAN ANTHONY</v>
      </c>
      <c r="C29" s="127" t="str">
        <f>IF(GRAL.!E30&lt;51,GRAL.!E30," ")</f>
        <v xml:space="preserve"> </v>
      </c>
      <c r="D29" s="119" t="str">
        <f>IF(GRAL.!H30&lt;51,GRAL.!H30," ")</f>
        <v xml:space="preserve"> </v>
      </c>
      <c r="E29" s="119" t="str">
        <f>IF(GRAL.!K30&lt;51,GRAL.!K30," ")</f>
        <v xml:space="preserve"> </v>
      </c>
      <c r="F29" s="119" t="str">
        <f>IF(GRAL.!N30&lt;51,GRAL.!N30," ")</f>
        <v xml:space="preserve"> </v>
      </c>
      <c r="G29" s="119" t="str">
        <f>IF(GRAL.!Q30&lt;51,GRAL.!Q30," ")</f>
        <v xml:space="preserve"> </v>
      </c>
      <c r="H29" s="119" t="str">
        <f>IF(GRAL.!T30&lt;51,GRAL.!T30," ")</f>
        <v xml:space="preserve"> </v>
      </c>
      <c r="I29" s="119" t="str">
        <f>IF(GRAL.!W30&lt;51,GRAL.!W30," ")</f>
        <v xml:space="preserve"> </v>
      </c>
      <c r="J29" s="119" t="str">
        <f>IF(GRAL.!Z30&lt;51,GRAL.!Z30," ")</f>
        <v xml:space="preserve"> </v>
      </c>
      <c r="K29" s="119" t="str">
        <f>IF(GRAL.!AC30&lt;51,GRAL.!AC30," ")</f>
        <v xml:space="preserve"> </v>
      </c>
      <c r="L29" s="119" t="str">
        <f>IF(GRAL.!AF30&lt;51,GRAL.!AF30," ")</f>
        <v xml:space="preserve"> </v>
      </c>
      <c r="M29" s="121" t="str">
        <f>IF(GRAL.!AI30&lt;51,GRAL.!AI30," ")</f>
        <v xml:space="preserve"> </v>
      </c>
      <c r="N29" s="122" t="str">
        <f t="shared" si="0"/>
        <v xml:space="preserve"> </v>
      </c>
      <c r="P29" s="139">
        <f>'REP 1°'!N29</f>
        <v>5</v>
      </c>
      <c r="Q29" s="139" t="str">
        <f>'REP 2°'!N29</f>
        <v xml:space="preserve"> </v>
      </c>
    </row>
    <row r="30" spans="1:17" ht="18.75">
      <c r="A30" s="48">
        <f>NOMINA!A33</f>
        <v>28</v>
      </c>
      <c r="B30" s="197" t="str">
        <f>NOMINA!B33</f>
        <v>ROMAN TITO MATEO</v>
      </c>
      <c r="C30" s="127" t="str">
        <f>IF(GRAL.!E31&lt;51,GRAL.!E31," ")</f>
        <v xml:space="preserve"> </v>
      </c>
      <c r="D30" s="119" t="str">
        <f>IF(GRAL.!H31&lt;51,GRAL.!H31," ")</f>
        <v xml:space="preserve"> </v>
      </c>
      <c r="E30" s="119" t="str">
        <f>IF(GRAL.!K31&lt;51,GRAL.!K31," ")</f>
        <v xml:space="preserve"> </v>
      </c>
      <c r="F30" s="119" t="str">
        <f>IF(GRAL.!N31&lt;51,GRAL.!N31," ")</f>
        <v xml:space="preserve"> </v>
      </c>
      <c r="G30" s="119" t="str">
        <f>IF(GRAL.!Q31&lt;51,GRAL.!Q31," ")</f>
        <v xml:space="preserve"> </v>
      </c>
      <c r="H30" s="119" t="str">
        <f>IF(GRAL.!T31&lt;51,GRAL.!T31," ")</f>
        <v xml:space="preserve"> </v>
      </c>
      <c r="I30" s="119" t="str">
        <f>IF(GRAL.!W31&lt;51,GRAL.!W31," ")</f>
        <v xml:space="preserve"> </v>
      </c>
      <c r="J30" s="119" t="str">
        <f>IF(GRAL.!Z31&lt;51,GRAL.!Z31," ")</f>
        <v xml:space="preserve"> </v>
      </c>
      <c r="K30" s="119" t="str">
        <f>IF(GRAL.!AC31&lt;51,GRAL.!AC31," ")</f>
        <v xml:space="preserve"> </v>
      </c>
      <c r="L30" s="119" t="str">
        <f>IF(GRAL.!AF31&lt;51,GRAL.!AF31," ")</f>
        <v xml:space="preserve"> </v>
      </c>
      <c r="M30" s="121" t="str">
        <f>IF(GRAL.!AI31&lt;51,GRAL.!AI31," ")</f>
        <v xml:space="preserve"> </v>
      </c>
      <c r="N30" s="122" t="str">
        <f t="shared" si="0"/>
        <v xml:space="preserve"> </v>
      </c>
      <c r="P30" s="139">
        <f>'REP 1°'!N30</f>
        <v>1</v>
      </c>
      <c r="Q30" s="139" t="str">
        <f>'REP 2°'!N30</f>
        <v xml:space="preserve"> </v>
      </c>
    </row>
    <row r="31" spans="1:17" ht="18.75">
      <c r="A31" s="48">
        <f>NOMINA!A34</f>
        <v>29</v>
      </c>
      <c r="B31" s="197" t="str">
        <f>NOMINA!B34</f>
        <v xml:space="preserve">SILES MAMANI JUSTIN ANGEL </v>
      </c>
      <c r="C31" s="127" t="str">
        <f>IF(GRAL.!E32&lt;51,GRAL.!E32," ")</f>
        <v xml:space="preserve"> </v>
      </c>
      <c r="D31" s="119" t="str">
        <f>IF(GRAL.!H32&lt;51,GRAL.!H32," ")</f>
        <v xml:space="preserve"> </v>
      </c>
      <c r="E31" s="119" t="str">
        <f>IF(GRAL.!K32&lt;51,GRAL.!K32," ")</f>
        <v xml:space="preserve"> </v>
      </c>
      <c r="F31" s="119" t="str">
        <f>IF(GRAL.!N32&lt;51,GRAL.!N32," ")</f>
        <v xml:space="preserve"> </v>
      </c>
      <c r="G31" s="119" t="str">
        <f>IF(GRAL.!Q32&lt;51,GRAL.!Q32," ")</f>
        <v xml:space="preserve"> </v>
      </c>
      <c r="H31" s="119" t="str">
        <f>IF(GRAL.!T32&lt;51,GRAL.!T32," ")</f>
        <v xml:space="preserve"> </v>
      </c>
      <c r="I31" s="119" t="str">
        <f>IF(GRAL.!W32&lt;51,GRAL.!W32," ")</f>
        <v xml:space="preserve"> </v>
      </c>
      <c r="J31" s="119" t="str">
        <f>IF(GRAL.!Z32&lt;51,GRAL.!Z32," ")</f>
        <v xml:space="preserve"> </v>
      </c>
      <c r="K31" s="119" t="str">
        <f>IF(GRAL.!AC32&lt;51,GRAL.!AC32," ")</f>
        <v xml:space="preserve"> </v>
      </c>
      <c r="L31" s="119" t="str">
        <f>IF(GRAL.!AF32&lt;51,GRAL.!AF32," ")</f>
        <v xml:space="preserve"> </v>
      </c>
      <c r="M31" s="121" t="str">
        <f>IF(GRAL.!AI32&lt;51,GRAL.!AI32," ")</f>
        <v xml:space="preserve"> </v>
      </c>
      <c r="N31" s="122" t="str">
        <f t="shared" si="0"/>
        <v xml:space="preserve"> </v>
      </c>
      <c r="P31" s="139" t="str">
        <f>'REP 1°'!N31</f>
        <v xml:space="preserve"> </v>
      </c>
      <c r="Q31" s="139" t="str">
        <f>'REP 2°'!N31</f>
        <v xml:space="preserve"> </v>
      </c>
    </row>
    <row r="32" spans="1:17" ht="18.75">
      <c r="A32" s="48">
        <f>NOMINA!A35</f>
        <v>30</v>
      </c>
      <c r="B32" s="197" t="str">
        <f>NOMINA!B35</f>
        <v>TERAN COCA DIEGO NICOLAS</v>
      </c>
      <c r="C32" s="127" t="str">
        <f>IF(GRAL.!E33&lt;51,GRAL.!E33," ")</f>
        <v xml:space="preserve"> </v>
      </c>
      <c r="D32" s="119" t="str">
        <f>IF(GRAL.!H33&lt;51,GRAL.!H33," ")</f>
        <v xml:space="preserve"> </v>
      </c>
      <c r="E32" s="119" t="str">
        <f>IF(GRAL.!K33&lt;51,GRAL.!K33," ")</f>
        <v xml:space="preserve"> </v>
      </c>
      <c r="F32" s="119" t="str">
        <f>IF(GRAL.!N33&lt;51,GRAL.!N33," ")</f>
        <v xml:space="preserve"> </v>
      </c>
      <c r="G32" s="119" t="str">
        <f>IF(GRAL.!Q33&lt;51,GRAL.!Q33," ")</f>
        <v xml:space="preserve"> </v>
      </c>
      <c r="H32" s="119" t="str">
        <f>IF(GRAL.!T33&lt;51,GRAL.!T33," ")</f>
        <v xml:space="preserve"> </v>
      </c>
      <c r="I32" s="119" t="str">
        <f>IF(GRAL.!W33&lt;51,GRAL.!W33," ")</f>
        <v xml:space="preserve"> </v>
      </c>
      <c r="J32" s="119" t="str">
        <f>IF(GRAL.!Z33&lt;51,GRAL.!Z33," ")</f>
        <v xml:space="preserve"> </v>
      </c>
      <c r="K32" s="119" t="str">
        <f>IF(GRAL.!AC33&lt;51,GRAL.!AC33," ")</f>
        <v xml:space="preserve"> </v>
      </c>
      <c r="L32" s="119" t="str">
        <f>IF(GRAL.!AF33&lt;51,GRAL.!AF33," ")</f>
        <v xml:space="preserve"> </v>
      </c>
      <c r="M32" s="121" t="str">
        <f>IF(GRAL.!AI33&lt;51,GRAL.!AI33," ")</f>
        <v xml:space="preserve"> </v>
      </c>
      <c r="N32" s="122" t="str">
        <f t="shared" si="0"/>
        <v xml:space="preserve"> </v>
      </c>
      <c r="P32" s="139" t="str">
        <f>'REP 1°'!N32</f>
        <v xml:space="preserve"> </v>
      </c>
      <c r="Q32" s="139" t="str">
        <f>'REP 2°'!N32</f>
        <v xml:space="preserve"> </v>
      </c>
    </row>
    <row r="33" spans="1:17" ht="18.75">
      <c r="A33" s="48">
        <f>NOMINA!A36</f>
        <v>31</v>
      </c>
      <c r="B33" s="197" t="str">
        <f>NOMINA!B36</f>
        <v>URIA LOPEZ SEBASTIAN ARIEL</v>
      </c>
      <c r="C33" s="127" t="str">
        <f>IF(GRAL.!E34&lt;51,GRAL.!E34," ")</f>
        <v xml:space="preserve"> </v>
      </c>
      <c r="D33" s="119" t="str">
        <f>IF(GRAL.!H34&lt;51,GRAL.!H34," ")</f>
        <v xml:space="preserve"> </v>
      </c>
      <c r="E33" s="119" t="str">
        <f>IF(GRAL.!K34&lt;51,GRAL.!K34," ")</f>
        <v xml:space="preserve"> </v>
      </c>
      <c r="F33" s="119" t="str">
        <f>IF(GRAL.!N34&lt;51,GRAL.!N34," ")</f>
        <v xml:space="preserve"> </v>
      </c>
      <c r="G33" s="119" t="str">
        <f>IF(GRAL.!Q34&lt;51,GRAL.!Q34," ")</f>
        <v xml:space="preserve"> </v>
      </c>
      <c r="H33" s="119" t="str">
        <f>IF(GRAL.!T34&lt;51,GRAL.!T34," ")</f>
        <v xml:space="preserve"> </v>
      </c>
      <c r="I33" s="119" t="str">
        <f>IF(GRAL.!W34&lt;51,GRAL.!W34," ")</f>
        <v xml:space="preserve"> </v>
      </c>
      <c r="J33" s="119" t="str">
        <f>IF(GRAL.!Z34&lt;51,GRAL.!Z34," ")</f>
        <v xml:space="preserve"> </v>
      </c>
      <c r="K33" s="119" t="str">
        <f>IF(GRAL.!AC34&lt;51,GRAL.!AC34," ")</f>
        <v xml:space="preserve"> </v>
      </c>
      <c r="L33" s="119" t="str">
        <f>IF(GRAL.!AF34&lt;51,GRAL.!AF34," ")</f>
        <v xml:space="preserve"> </v>
      </c>
      <c r="M33" s="121" t="str">
        <f>IF(GRAL.!AI34&lt;51,GRAL.!AI34," ")</f>
        <v xml:space="preserve"> </v>
      </c>
      <c r="N33" s="122" t="str">
        <f t="shared" si="0"/>
        <v xml:space="preserve"> </v>
      </c>
      <c r="P33" s="139" t="str">
        <f>'REP 1°'!N33</f>
        <v xml:space="preserve"> </v>
      </c>
      <c r="Q33" s="139" t="str">
        <f>'REP 2°'!N33</f>
        <v xml:space="preserve"> </v>
      </c>
    </row>
    <row r="34" spans="1:17" ht="18.75">
      <c r="A34" s="48">
        <f>NOMINA!A37</f>
        <v>32</v>
      </c>
      <c r="B34" s="197" t="str">
        <f>NOMINA!B37</f>
        <v>VASQUEZ ESPINOZA JHONATAN YAYCOB</v>
      </c>
      <c r="C34" s="127" t="str">
        <f>IF(GRAL.!E35&lt;51,GRAL.!E35," ")</f>
        <v xml:space="preserve"> </v>
      </c>
      <c r="D34" s="119" t="str">
        <f>IF(GRAL.!H35&lt;51,GRAL.!H35," ")</f>
        <v xml:space="preserve"> </v>
      </c>
      <c r="E34" s="119" t="str">
        <f>IF(GRAL.!K35&lt;51,GRAL.!K35," ")</f>
        <v xml:space="preserve"> </v>
      </c>
      <c r="F34" s="119" t="str">
        <f>IF(GRAL.!N35&lt;51,GRAL.!N35," ")</f>
        <v xml:space="preserve"> </v>
      </c>
      <c r="G34" s="119" t="str">
        <f>IF(GRAL.!Q35&lt;51,GRAL.!Q35," ")</f>
        <v xml:space="preserve"> </v>
      </c>
      <c r="H34" s="119" t="str">
        <f>IF(GRAL.!T35&lt;51,GRAL.!T35," ")</f>
        <v xml:space="preserve"> </v>
      </c>
      <c r="I34" s="119" t="str">
        <f>IF(GRAL.!W35&lt;51,GRAL.!W35," ")</f>
        <v xml:space="preserve"> </v>
      </c>
      <c r="J34" s="119" t="str">
        <f>IF(GRAL.!Z35&lt;51,GRAL.!Z35," ")</f>
        <v xml:space="preserve"> </v>
      </c>
      <c r="K34" s="119" t="str">
        <f>IF(GRAL.!AC35&lt;51,GRAL.!AC35," ")</f>
        <v xml:space="preserve"> </v>
      </c>
      <c r="L34" s="119" t="str">
        <f>IF(GRAL.!AF35&lt;51,GRAL.!AF35," ")</f>
        <v xml:space="preserve"> </v>
      </c>
      <c r="M34" s="121" t="str">
        <f>IF(GRAL.!AI35&lt;51,GRAL.!AI35," ")</f>
        <v xml:space="preserve"> </v>
      </c>
      <c r="N34" s="122" t="str">
        <f t="shared" si="0"/>
        <v xml:space="preserve"> </v>
      </c>
      <c r="P34" s="139" t="str">
        <f>'REP 1°'!N34</f>
        <v xml:space="preserve"> </v>
      </c>
      <c r="Q34" s="139" t="str">
        <f>'REP 2°'!N34</f>
        <v xml:space="preserve"> </v>
      </c>
    </row>
    <row r="35" spans="1:17" ht="18.75">
      <c r="A35" s="48">
        <f>NOMINA!A38</f>
        <v>33</v>
      </c>
      <c r="B35" s="197" t="str">
        <f>NOMINA!B38</f>
        <v>VEIZAGA LEDEZMA SEBASTIAN</v>
      </c>
      <c r="C35" s="127" t="str">
        <f>IF(GRAL.!E36&lt;51,GRAL.!E36," ")</f>
        <v xml:space="preserve"> </v>
      </c>
      <c r="D35" s="119" t="str">
        <f>IF(GRAL.!H36&lt;51,GRAL.!H36," ")</f>
        <v xml:space="preserve"> </v>
      </c>
      <c r="E35" s="119" t="str">
        <f>IF(GRAL.!K36&lt;51,GRAL.!K36," ")</f>
        <v xml:space="preserve"> </v>
      </c>
      <c r="F35" s="119" t="str">
        <f>IF(GRAL.!N36&lt;51,GRAL.!N36," ")</f>
        <v xml:space="preserve"> </v>
      </c>
      <c r="G35" s="119" t="str">
        <f>IF(GRAL.!Q36&lt;51,GRAL.!Q36," ")</f>
        <v xml:space="preserve"> </v>
      </c>
      <c r="H35" s="119" t="str">
        <f>IF(GRAL.!T36&lt;51,GRAL.!T36," ")</f>
        <v xml:space="preserve"> </v>
      </c>
      <c r="I35" s="119" t="str">
        <f>IF(GRAL.!W36&lt;51,GRAL.!W36," ")</f>
        <v xml:space="preserve"> </v>
      </c>
      <c r="J35" s="119" t="str">
        <f>IF(GRAL.!Z36&lt;51,GRAL.!Z36," ")</f>
        <v xml:space="preserve"> </v>
      </c>
      <c r="K35" s="119" t="str">
        <f>IF(GRAL.!AC36&lt;51,GRAL.!AC36," ")</f>
        <v xml:space="preserve"> </v>
      </c>
      <c r="L35" s="119" t="str">
        <f>IF(GRAL.!AF36&lt;51,GRAL.!AF36," ")</f>
        <v xml:space="preserve"> </v>
      </c>
      <c r="M35" s="121" t="str">
        <f>IF(GRAL.!AI36&lt;51,GRAL.!AI36," ")</f>
        <v xml:space="preserve"> </v>
      </c>
      <c r="N35" s="122" t="str">
        <f t="shared" si="0"/>
        <v xml:space="preserve"> </v>
      </c>
      <c r="P35" s="139" t="str">
        <f>'REP 1°'!N35</f>
        <v xml:space="preserve"> </v>
      </c>
      <c r="Q35" s="139" t="str">
        <f>'REP 2°'!N35</f>
        <v xml:space="preserve"> </v>
      </c>
    </row>
    <row r="36" spans="1:17" ht="18.75">
      <c r="A36" s="48">
        <f>NOMINA!A39</f>
        <v>34</v>
      </c>
      <c r="B36" s="197" t="str">
        <f>NOMINA!B39</f>
        <v>VILLARROEL CUCHILLO HUGO SEBASTIAN</v>
      </c>
      <c r="C36" s="127" t="str">
        <f>IF(GRAL.!E37&lt;51,GRAL.!E37," ")</f>
        <v xml:space="preserve"> </v>
      </c>
      <c r="D36" s="119" t="str">
        <f>IF(GRAL.!H37&lt;51,GRAL.!H37," ")</f>
        <v xml:space="preserve"> </v>
      </c>
      <c r="E36" s="119" t="str">
        <f>IF(GRAL.!K37&lt;51,GRAL.!K37," ")</f>
        <v xml:space="preserve"> </v>
      </c>
      <c r="F36" s="119" t="str">
        <f>IF(GRAL.!N37&lt;51,GRAL.!N37," ")</f>
        <v xml:space="preserve"> </v>
      </c>
      <c r="G36" s="119" t="str">
        <f>IF(GRAL.!Q37&lt;51,GRAL.!Q37," ")</f>
        <v xml:space="preserve"> </v>
      </c>
      <c r="H36" s="119" t="str">
        <f>IF(GRAL.!T37&lt;51,GRAL.!T37," ")</f>
        <v xml:space="preserve"> </v>
      </c>
      <c r="I36" s="119" t="str">
        <f>IF(GRAL.!W37&lt;51,GRAL.!W37," ")</f>
        <v xml:space="preserve"> </v>
      </c>
      <c r="J36" s="119" t="str">
        <f>IF(GRAL.!Z37&lt;51,GRAL.!Z37," ")</f>
        <v xml:space="preserve"> </v>
      </c>
      <c r="K36" s="119" t="str">
        <f>IF(GRAL.!AC37&lt;51,GRAL.!AC37," ")</f>
        <v xml:space="preserve"> </v>
      </c>
      <c r="L36" s="119" t="str">
        <f>IF(GRAL.!AF37&lt;51,GRAL.!AF37," ")</f>
        <v xml:space="preserve"> </v>
      </c>
      <c r="M36" s="121" t="str">
        <f>IF(GRAL.!AI37&lt;51,GRAL.!AI37," ")</f>
        <v xml:space="preserve"> </v>
      </c>
      <c r="N36" s="122" t="str">
        <f t="shared" si="0"/>
        <v xml:space="preserve"> </v>
      </c>
      <c r="P36" s="139" t="str">
        <f>'REP 1°'!N36</f>
        <v xml:space="preserve"> </v>
      </c>
      <c r="Q36" s="139" t="str">
        <f>'REP 2°'!N36</f>
        <v xml:space="preserve"> </v>
      </c>
    </row>
    <row r="37" spans="1:17" ht="18.75">
      <c r="A37" s="48">
        <f>NOMINA!A40</f>
        <v>35</v>
      </c>
      <c r="B37" s="197" t="str">
        <f>NOMINA!B40</f>
        <v>ZAMBRANA MENDEZ MIRCO ALEXANDER</v>
      </c>
      <c r="C37" s="127" t="str">
        <f>IF(GRAL.!E38&lt;51,GRAL.!E38," ")</f>
        <v xml:space="preserve"> </v>
      </c>
      <c r="D37" s="119" t="str">
        <f>IF(GRAL.!H38&lt;51,GRAL.!H38," ")</f>
        <v xml:space="preserve"> </v>
      </c>
      <c r="E37" s="119" t="str">
        <f>IF(GRAL.!K38&lt;51,GRAL.!K38," ")</f>
        <v xml:space="preserve"> </v>
      </c>
      <c r="F37" s="119" t="str">
        <f>IF(GRAL.!N38&lt;51,GRAL.!N38," ")</f>
        <v xml:space="preserve"> </v>
      </c>
      <c r="G37" s="119" t="str">
        <f>IF(GRAL.!Q38&lt;51,GRAL.!Q38," ")</f>
        <v xml:space="preserve"> </v>
      </c>
      <c r="H37" s="119" t="str">
        <f>IF(GRAL.!T38&lt;51,GRAL.!T38," ")</f>
        <v xml:space="preserve"> </v>
      </c>
      <c r="I37" s="119" t="str">
        <f>IF(GRAL.!W38&lt;51,GRAL.!W38," ")</f>
        <v xml:space="preserve"> </v>
      </c>
      <c r="J37" s="119" t="str">
        <f>IF(GRAL.!Z38&lt;51,GRAL.!Z38," ")</f>
        <v xml:space="preserve"> </v>
      </c>
      <c r="K37" s="119" t="str">
        <f>IF(GRAL.!AC38&lt;51,GRAL.!AC38," ")</f>
        <v xml:space="preserve"> </v>
      </c>
      <c r="L37" s="119" t="str">
        <f>IF(GRAL.!AF38&lt;51,GRAL.!AF38," ")</f>
        <v xml:space="preserve"> </v>
      </c>
      <c r="M37" s="121" t="str">
        <f>IF(GRAL.!AI38&lt;51,GRAL.!AI38," ")</f>
        <v xml:space="preserve"> </v>
      </c>
      <c r="N37" s="122" t="str">
        <f t="shared" si="0"/>
        <v xml:space="preserve"> </v>
      </c>
      <c r="P37" s="139">
        <f>'REP 1°'!N37</f>
        <v>2</v>
      </c>
      <c r="Q37" s="139" t="str">
        <f>'REP 2°'!N37</f>
        <v xml:space="preserve"> </v>
      </c>
    </row>
    <row r="38" spans="1:17" ht="18.75">
      <c r="A38" s="48">
        <f>NOMINA!A41</f>
        <v>36</v>
      </c>
      <c r="B38" s="197">
        <f>NOMINA!B41</f>
        <v>0</v>
      </c>
      <c r="C38" s="127" t="str">
        <f>IF(GRAL.!E39&lt;51,GRAL.!E39," ")</f>
        <v xml:space="preserve"> </v>
      </c>
      <c r="D38" s="119" t="str">
        <f>IF(GRAL.!H39&lt;51,GRAL.!H39," ")</f>
        <v xml:space="preserve"> </v>
      </c>
      <c r="E38" s="119" t="str">
        <f>IF(GRAL.!K39&lt;51,GRAL.!K39," ")</f>
        <v xml:space="preserve"> </v>
      </c>
      <c r="F38" s="119" t="str">
        <f>IF(GRAL.!N39&lt;51,GRAL.!N39," ")</f>
        <v xml:space="preserve"> </v>
      </c>
      <c r="G38" s="119" t="str">
        <f>IF(GRAL.!Q39&lt;51,GRAL.!Q39," ")</f>
        <v xml:space="preserve"> </v>
      </c>
      <c r="H38" s="119" t="str">
        <f>IF(GRAL.!T39&lt;51,GRAL.!T39," ")</f>
        <v xml:space="preserve"> </v>
      </c>
      <c r="I38" s="119" t="str">
        <f>IF(GRAL.!W39&lt;51,GRAL.!W39," ")</f>
        <v xml:space="preserve"> </v>
      </c>
      <c r="J38" s="119" t="str">
        <f>IF(GRAL.!Z39&lt;51,GRAL.!Z39," ")</f>
        <v xml:space="preserve"> </v>
      </c>
      <c r="K38" s="119" t="str">
        <f>IF(GRAL.!AC39&lt;51,GRAL.!AC39," ")</f>
        <v xml:space="preserve"> </v>
      </c>
      <c r="L38" s="119" t="str">
        <f>IF(GRAL.!AF39&lt;51,GRAL.!AF39," ")</f>
        <v xml:space="preserve"> </v>
      </c>
      <c r="M38" s="121" t="str">
        <f>IF(GRAL.!AI39&lt;51,GRAL.!AI39," ")</f>
        <v xml:space="preserve"> </v>
      </c>
      <c r="N38" s="122" t="str">
        <f t="shared" si="0"/>
        <v xml:space="preserve"> </v>
      </c>
      <c r="P38" s="139">
        <f>'REP 1°'!N38</f>
        <v>4</v>
      </c>
      <c r="Q38" s="139" t="str">
        <f>'REP 2°'!N38</f>
        <v xml:space="preserve"> </v>
      </c>
    </row>
    <row r="39" spans="1:17" ht="18.75">
      <c r="A39" s="48">
        <f>NOMINA!A42</f>
        <v>37</v>
      </c>
      <c r="B39" s="197">
        <f>NOMINA!B42</f>
        <v>0</v>
      </c>
      <c r="C39" s="127" t="str">
        <f>IF(GRAL.!E40&lt;51,GRAL.!E40," ")</f>
        <v xml:space="preserve"> </v>
      </c>
      <c r="D39" s="119" t="str">
        <f>IF(GRAL.!H40&lt;51,GRAL.!H40," ")</f>
        <v xml:space="preserve"> </v>
      </c>
      <c r="E39" s="119" t="str">
        <f>IF(GRAL.!K40&lt;51,GRAL.!K40," ")</f>
        <v xml:space="preserve"> </v>
      </c>
      <c r="F39" s="119" t="str">
        <f>IF(GRAL.!N40&lt;51,GRAL.!N40," ")</f>
        <v xml:space="preserve"> </v>
      </c>
      <c r="G39" s="119" t="str">
        <f>IF(GRAL.!Q40&lt;51,GRAL.!Q40," ")</f>
        <v xml:space="preserve"> </v>
      </c>
      <c r="H39" s="119" t="str">
        <f>IF(GRAL.!T40&lt;51,GRAL.!T40," ")</f>
        <v xml:space="preserve"> </v>
      </c>
      <c r="I39" s="119" t="str">
        <f>IF(GRAL.!W40&lt;51,GRAL.!W40," ")</f>
        <v xml:space="preserve"> </v>
      </c>
      <c r="J39" s="119" t="str">
        <f>IF(GRAL.!Z40&lt;51,GRAL.!Z40," ")</f>
        <v xml:space="preserve"> </v>
      </c>
      <c r="K39" s="119" t="str">
        <f>IF(GRAL.!AC40&lt;51,GRAL.!AC40," ")</f>
        <v xml:space="preserve"> </v>
      </c>
      <c r="L39" s="119" t="str">
        <f>IF(GRAL.!AF40&lt;51,GRAL.!AF40," ")</f>
        <v xml:space="preserve"> </v>
      </c>
      <c r="M39" s="121" t="str">
        <f>IF(GRAL.!AI40&lt;51,GRAL.!AI40," ")</f>
        <v xml:space="preserve"> </v>
      </c>
      <c r="N39" s="122" t="str">
        <f t="shared" si="0"/>
        <v xml:space="preserve"> </v>
      </c>
      <c r="P39" s="139" t="str">
        <f>'REP 1°'!N39</f>
        <v xml:space="preserve"> </v>
      </c>
      <c r="Q39" s="139" t="str">
        <f>'REP 2°'!N39</f>
        <v xml:space="preserve"> </v>
      </c>
    </row>
    <row r="40" spans="1:17" ht="18.75">
      <c r="A40" s="48">
        <f>NOMINA!A43</f>
        <v>38</v>
      </c>
      <c r="B40" s="197">
        <f>NOMINA!B43</f>
        <v>0</v>
      </c>
      <c r="C40" s="127" t="str">
        <f>IF(GRAL.!E41&lt;51,GRAL.!E41," ")</f>
        <v xml:space="preserve"> </v>
      </c>
      <c r="D40" s="119" t="str">
        <f>IF(GRAL.!H41&lt;51,GRAL.!H41," ")</f>
        <v xml:space="preserve"> </v>
      </c>
      <c r="E40" s="119" t="str">
        <f>IF(GRAL.!K41&lt;51,GRAL.!K41," ")</f>
        <v xml:space="preserve"> </v>
      </c>
      <c r="F40" s="119" t="str">
        <f>IF(GRAL.!N41&lt;51,GRAL.!N41," ")</f>
        <v xml:space="preserve"> </v>
      </c>
      <c r="G40" s="119" t="str">
        <f>IF(GRAL.!Q41&lt;51,GRAL.!Q41," ")</f>
        <v xml:space="preserve"> </v>
      </c>
      <c r="H40" s="119" t="str">
        <f>IF(GRAL.!T41&lt;51,GRAL.!T41," ")</f>
        <v xml:space="preserve"> </v>
      </c>
      <c r="I40" s="119" t="str">
        <f>IF(GRAL.!W41&lt;51,GRAL.!W41," ")</f>
        <v xml:space="preserve"> </v>
      </c>
      <c r="J40" s="119" t="str">
        <f>IF(GRAL.!Z41&lt;51,GRAL.!Z41," ")</f>
        <v xml:space="preserve"> </v>
      </c>
      <c r="K40" s="119" t="str">
        <f>IF(GRAL.!AC41&lt;51,GRAL.!AC41," ")</f>
        <v xml:space="preserve"> </v>
      </c>
      <c r="L40" s="119" t="str">
        <f>IF(GRAL.!AF41&lt;51,GRAL.!AF41," ")</f>
        <v xml:space="preserve"> </v>
      </c>
      <c r="M40" s="121" t="str">
        <f>IF(GRAL.!AI41&lt;51,GRAL.!AI41," ")</f>
        <v xml:space="preserve"> </v>
      </c>
      <c r="N40" s="122" t="str">
        <f t="shared" si="0"/>
        <v xml:space="preserve"> </v>
      </c>
      <c r="P40" s="139" t="str">
        <f>'REP 1°'!N40</f>
        <v xml:space="preserve"> </v>
      </c>
      <c r="Q40" s="139" t="str">
        <f>'REP 2°'!N40</f>
        <v xml:space="preserve"> </v>
      </c>
    </row>
    <row r="41" spans="1:17" ht="18.75">
      <c r="A41" s="48">
        <f>NOMINA!A44</f>
        <v>39</v>
      </c>
      <c r="B41" s="197">
        <f>NOMINA!B44</f>
        <v>0</v>
      </c>
      <c r="C41" s="127" t="str">
        <f>IF(GRAL.!E42&lt;51,GRAL.!E42," ")</f>
        <v xml:space="preserve"> </v>
      </c>
      <c r="D41" s="119" t="str">
        <f>IF(GRAL.!H42&lt;51,GRAL.!H42," ")</f>
        <v xml:space="preserve"> </v>
      </c>
      <c r="E41" s="119" t="str">
        <f>IF(GRAL.!K42&lt;51,GRAL.!K42," ")</f>
        <v xml:space="preserve"> </v>
      </c>
      <c r="F41" s="119" t="str">
        <f>IF(GRAL.!N42&lt;51,GRAL.!N42," ")</f>
        <v xml:space="preserve"> </v>
      </c>
      <c r="G41" s="119" t="str">
        <f>IF(GRAL.!Q42&lt;51,GRAL.!Q42," ")</f>
        <v xml:space="preserve"> </v>
      </c>
      <c r="H41" s="119" t="str">
        <f>IF(GRAL.!T42&lt;51,GRAL.!T42," ")</f>
        <v xml:space="preserve"> </v>
      </c>
      <c r="I41" s="119" t="str">
        <f>IF(GRAL.!W42&lt;51,GRAL.!W42," ")</f>
        <v xml:space="preserve"> </v>
      </c>
      <c r="J41" s="119" t="str">
        <f>IF(GRAL.!Z42&lt;51,GRAL.!Z42," ")</f>
        <v xml:space="preserve"> </v>
      </c>
      <c r="K41" s="119" t="str">
        <f>IF(GRAL.!AC42&lt;51,GRAL.!AC42," ")</f>
        <v xml:space="preserve"> </v>
      </c>
      <c r="L41" s="119" t="str">
        <f>IF(GRAL.!AF42&lt;51,GRAL.!AF42," ")</f>
        <v xml:space="preserve"> </v>
      </c>
      <c r="M41" s="121" t="str">
        <f>IF(GRAL.!AI42&lt;51,GRAL.!AI42," ")</f>
        <v xml:space="preserve"> </v>
      </c>
      <c r="N41" s="122" t="str">
        <f t="shared" si="0"/>
        <v xml:space="preserve"> </v>
      </c>
      <c r="P41" s="139" t="str">
        <f>'REP 1°'!N41</f>
        <v xml:space="preserve"> </v>
      </c>
      <c r="Q41" s="139" t="str">
        <f>'REP 2°'!N41</f>
        <v xml:space="preserve"> </v>
      </c>
    </row>
    <row r="42" spans="1:17" ht="18.75">
      <c r="A42" s="48">
        <f>NOMINA!A45</f>
        <v>40</v>
      </c>
      <c r="B42" s="197">
        <f>NOMINA!B45</f>
        <v>0</v>
      </c>
      <c r="C42" s="127" t="str">
        <f>IF(GRAL.!E43&lt;51,GRAL.!E43," ")</f>
        <v xml:space="preserve"> </v>
      </c>
      <c r="D42" s="119" t="str">
        <f>IF(GRAL.!H43&lt;51,GRAL.!H43," ")</f>
        <v xml:space="preserve"> </v>
      </c>
      <c r="E42" s="119" t="str">
        <f>IF(GRAL.!K43&lt;51,GRAL.!K43," ")</f>
        <v xml:space="preserve"> </v>
      </c>
      <c r="F42" s="119" t="str">
        <f>IF(GRAL.!N43&lt;51,GRAL.!N43," ")</f>
        <v xml:space="preserve"> </v>
      </c>
      <c r="G42" s="119" t="str">
        <f>IF(GRAL.!Q43&lt;51,GRAL.!Q43," ")</f>
        <v xml:space="preserve"> </v>
      </c>
      <c r="H42" s="119" t="str">
        <f>IF(GRAL.!T43&lt;51,GRAL.!T43," ")</f>
        <v xml:space="preserve"> </v>
      </c>
      <c r="I42" s="119" t="str">
        <f>IF(GRAL.!W43&lt;51,GRAL.!W43," ")</f>
        <v xml:space="preserve"> </v>
      </c>
      <c r="J42" s="119" t="str">
        <f>IF(GRAL.!Z43&lt;51,GRAL.!Z43," ")</f>
        <v xml:space="preserve"> </v>
      </c>
      <c r="K42" s="119" t="str">
        <f>IF(GRAL.!AC43&lt;51,GRAL.!AC43," ")</f>
        <v xml:space="preserve"> </v>
      </c>
      <c r="L42" s="119" t="str">
        <f>IF(GRAL.!AF43&lt;51,GRAL.!AF43," ")</f>
        <v xml:space="preserve"> </v>
      </c>
      <c r="M42" s="121" t="str">
        <f>IF(GRAL.!AI43&lt;51,GRAL.!AI43," ")</f>
        <v xml:space="preserve"> </v>
      </c>
      <c r="N42" s="122" t="str">
        <f t="shared" si="0"/>
        <v xml:space="preserve"> </v>
      </c>
      <c r="P42" s="139" t="str">
        <f>'REP 1°'!N42</f>
        <v xml:space="preserve"> </v>
      </c>
      <c r="Q42" s="139" t="str">
        <f>'REP 2°'!N42</f>
        <v xml:space="preserve"> </v>
      </c>
    </row>
    <row r="43" spans="1:17" ht="18.75">
      <c r="A43" s="48">
        <f>NOMINA!A46</f>
        <v>41</v>
      </c>
      <c r="B43" s="197">
        <f>NOMINA!B46</f>
        <v>0</v>
      </c>
      <c r="C43" s="127" t="str">
        <f>IF(GRAL.!E44&lt;51,GRAL.!E44," ")</f>
        <v xml:space="preserve"> </v>
      </c>
      <c r="D43" s="119" t="str">
        <f>IF(GRAL.!H44&lt;51,GRAL.!H44," ")</f>
        <v xml:space="preserve"> </v>
      </c>
      <c r="E43" s="119" t="str">
        <f>IF(GRAL.!K44&lt;51,GRAL.!K44," ")</f>
        <v xml:space="preserve"> </v>
      </c>
      <c r="F43" s="119" t="str">
        <f>IF(GRAL.!N44&lt;51,GRAL.!N44," ")</f>
        <v xml:space="preserve"> </v>
      </c>
      <c r="G43" s="119" t="str">
        <f>IF(GRAL.!Q44&lt;51,GRAL.!Q44," ")</f>
        <v xml:space="preserve"> </v>
      </c>
      <c r="H43" s="119" t="str">
        <f>IF(GRAL.!T44&lt;51,GRAL.!T44," ")</f>
        <v xml:space="preserve"> </v>
      </c>
      <c r="I43" s="119" t="str">
        <f>IF(GRAL.!W44&lt;51,GRAL.!W44," ")</f>
        <v xml:space="preserve"> </v>
      </c>
      <c r="J43" s="119" t="str">
        <f>IF(GRAL.!Z44&lt;51,GRAL.!Z44," ")</f>
        <v xml:space="preserve"> </v>
      </c>
      <c r="K43" s="119" t="str">
        <f>IF(GRAL.!AC44&lt;51,GRAL.!AC44," ")</f>
        <v xml:space="preserve"> </v>
      </c>
      <c r="L43" s="119" t="str">
        <f>IF(GRAL.!AF44&lt;51,GRAL.!AF44," ")</f>
        <v xml:space="preserve"> </v>
      </c>
      <c r="M43" s="121" t="str">
        <f>IF(GRAL.!AI44&lt;51,GRAL.!AI44," ")</f>
        <v xml:space="preserve"> </v>
      </c>
      <c r="N43" s="122" t="str">
        <f t="shared" si="0"/>
        <v xml:space="preserve"> </v>
      </c>
      <c r="P43" s="139" t="str">
        <f>'REP 1°'!N43</f>
        <v xml:space="preserve"> </v>
      </c>
      <c r="Q43" s="139" t="str">
        <f>'REP 2°'!N43</f>
        <v xml:space="preserve"> </v>
      </c>
    </row>
    <row r="44" spans="1:17" ht="19.5">
      <c r="A44" s="18"/>
      <c r="B44" s="149"/>
      <c r="C44" s="150"/>
      <c r="D44" s="150"/>
      <c r="E44" s="150"/>
      <c r="F44" s="150"/>
      <c r="G44" s="150"/>
      <c r="H44" s="150"/>
      <c r="I44" s="150"/>
      <c r="J44" s="150"/>
      <c r="K44" s="150"/>
      <c r="L44" s="150"/>
      <c r="M44" s="150"/>
      <c r="N44" s="151"/>
      <c r="P44" s="166"/>
      <c r="Q44" s="166"/>
    </row>
    <row r="45" spans="1:17">
      <c r="A45" s="18"/>
      <c r="B45" s="18"/>
      <c r="C45" s="18"/>
      <c r="D45" s="18"/>
      <c r="E45" s="18"/>
      <c r="F45" s="18"/>
      <c r="G45" s="18"/>
      <c r="H45" s="18"/>
      <c r="I45" s="18"/>
      <c r="J45" s="18"/>
      <c r="K45" s="18"/>
      <c r="L45" s="18"/>
      <c r="M45" s="18"/>
      <c r="N45" s="120"/>
    </row>
    <row r="46" spans="1:17" ht="19.5" customHeight="1">
      <c r="A46" s="18"/>
      <c r="B46" s="123" t="s">
        <v>74</v>
      </c>
      <c r="C46" s="124">
        <f t="shared" ref="C46:M46" si="1">COUNT(C4:C43)</f>
        <v>0</v>
      </c>
      <c r="D46" s="124">
        <f t="shared" si="1"/>
        <v>0</v>
      </c>
      <c r="E46" s="124">
        <f t="shared" si="1"/>
        <v>0</v>
      </c>
      <c r="F46" s="124">
        <f t="shared" si="1"/>
        <v>0</v>
      </c>
      <c r="G46" s="124">
        <f t="shared" si="1"/>
        <v>0</v>
      </c>
      <c r="H46" s="124">
        <f t="shared" si="1"/>
        <v>0</v>
      </c>
      <c r="I46" s="124">
        <f t="shared" si="1"/>
        <v>0</v>
      </c>
      <c r="J46" s="124">
        <f t="shared" si="1"/>
        <v>0</v>
      </c>
      <c r="K46" s="124">
        <f t="shared" si="1"/>
        <v>0</v>
      </c>
      <c r="L46" s="124">
        <f t="shared" si="1"/>
        <v>0</v>
      </c>
      <c r="M46" s="124">
        <f t="shared" si="1"/>
        <v>0</v>
      </c>
      <c r="N46" s="167">
        <f>SUM(N4:N43)</f>
        <v>0</v>
      </c>
      <c r="P46" s="169">
        <f>'REP 1°'!N46</f>
        <v>53</v>
      </c>
      <c r="Q46" s="169">
        <f>'REP 2°'!N46</f>
        <v>0</v>
      </c>
    </row>
    <row r="47" spans="1:17" ht="22.5" customHeight="1">
      <c r="B47" s="125" t="s">
        <v>28</v>
      </c>
      <c r="C47" s="126" t="e">
        <f>GRAL.!E52</f>
        <v>#DIV/0!</v>
      </c>
      <c r="D47" s="126">
        <f>GRAL.!TF52</f>
        <v>0</v>
      </c>
      <c r="E47" s="126" t="e">
        <f>GRAL.!K52</f>
        <v>#DIV/0!</v>
      </c>
      <c r="F47" s="126" t="e">
        <f>GRAL.!N52</f>
        <v>#DIV/0!</v>
      </c>
      <c r="G47" s="126" t="e">
        <f>GRAL.!Q52</f>
        <v>#DIV/0!</v>
      </c>
      <c r="H47" s="126" t="e">
        <f>GRAL.!T52</f>
        <v>#DIV/0!</v>
      </c>
      <c r="I47" s="126" t="e">
        <f>GRAL.!W52</f>
        <v>#DIV/0!</v>
      </c>
      <c r="J47" s="126" t="e">
        <f>GRAL.!Z52</f>
        <v>#DIV/0!</v>
      </c>
      <c r="K47" s="126" t="e">
        <f>GRAL.!AC52</f>
        <v>#DIV/0!</v>
      </c>
      <c r="L47" s="126" t="e">
        <f>GRAL.!AF52</f>
        <v>#DIV/0!</v>
      </c>
      <c r="M47" s="126" t="e">
        <f>GRAL.!AI52</f>
        <v>#DIV/0!</v>
      </c>
      <c r="N47" s="168" t="e">
        <f>AVERAGE(C47:M47)</f>
        <v>#DIV/0!</v>
      </c>
      <c r="P47" s="169">
        <f>'REP 1°'!N47</f>
        <v>13.766233766233768</v>
      </c>
      <c r="Q47" s="169" t="e">
        <f>'REP 2°'!N47</f>
        <v>#DIV/0!</v>
      </c>
    </row>
  </sheetData>
  <mergeCells count="16">
    <mergeCell ref="N2:N3"/>
    <mergeCell ref="R6:S6"/>
    <mergeCell ref="H2:H3"/>
    <mergeCell ref="I2:I3"/>
    <mergeCell ref="J2:J3"/>
    <mergeCell ref="K2:K3"/>
    <mergeCell ref="L2:L3"/>
    <mergeCell ref="M2:M3"/>
    <mergeCell ref="P2:P3"/>
    <mergeCell ref="Q2:Q3"/>
    <mergeCell ref="G2:G3"/>
    <mergeCell ref="A2:B3"/>
    <mergeCell ref="C2:C3"/>
    <mergeCell ref="D2:D3"/>
    <mergeCell ref="E2:E3"/>
    <mergeCell ref="F2:F3"/>
  </mergeCells>
  <pageMargins left="0.55000000000000004" right="0.31" top="0.45" bottom="0.37" header="0.3" footer="0.3"/>
  <pageSetup orientation="portrait" horizontalDpi="4294967293"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9"/>
  <dimension ref="A1:Q46"/>
  <sheetViews>
    <sheetView workbookViewId="0">
      <pane ySplit="2" topLeftCell="A15" activePane="bottomLeft" state="frozen"/>
      <selection pane="bottomLeft" activeCell="T48" sqref="T48"/>
    </sheetView>
  </sheetViews>
  <sheetFormatPr defaultColWidth="11.42578125" defaultRowHeight="15"/>
  <cols>
    <col min="1" max="1" width="2.85546875" customWidth="1"/>
    <col min="2" max="2" width="45.140625" bestFit="1" customWidth="1"/>
    <col min="3" max="13" width="4.5703125" customWidth="1"/>
    <col min="14" max="14" width="7.28515625" customWidth="1"/>
    <col min="15" max="15" width="7.85546875" customWidth="1"/>
  </cols>
  <sheetData>
    <row r="1" spans="1:17" ht="26.25" customHeight="1">
      <c r="A1" s="18"/>
      <c r="B1" s="343" t="str">
        <f>NOMINA!$B$2</f>
        <v>CURSO 2A</v>
      </c>
      <c r="C1" s="347" t="s">
        <v>15</v>
      </c>
      <c r="D1" s="345" t="s">
        <v>16</v>
      </c>
      <c r="E1" s="345" t="s">
        <v>56</v>
      </c>
      <c r="F1" s="345" t="s">
        <v>23</v>
      </c>
      <c r="G1" s="345" t="s">
        <v>18</v>
      </c>
      <c r="H1" s="345" t="s">
        <v>40</v>
      </c>
      <c r="I1" s="345" t="s">
        <v>14</v>
      </c>
      <c r="J1" s="345" t="s">
        <v>104</v>
      </c>
      <c r="K1" s="345" t="s">
        <v>48</v>
      </c>
      <c r="L1" s="345" t="s">
        <v>57</v>
      </c>
      <c r="M1" s="351" t="s">
        <v>19</v>
      </c>
      <c r="N1" s="349" t="s">
        <v>73</v>
      </c>
      <c r="O1" s="353" t="s">
        <v>75</v>
      </c>
    </row>
    <row r="2" spans="1:17" ht="18" customHeight="1" thickBot="1">
      <c r="A2" s="18"/>
      <c r="B2" s="344"/>
      <c r="C2" s="348"/>
      <c r="D2" s="346"/>
      <c r="E2" s="346"/>
      <c r="F2" s="346"/>
      <c r="G2" s="346"/>
      <c r="H2" s="346"/>
      <c r="I2" s="346"/>
      <c r="J2" s="346"/>
      <c r="K2" s="346"/>
      <c r="L2" s="346"/>
      <c r="M2" s="352"/>
      <c r="N2" s="350"/>
      <c r="O2" s="354"/>
    </row>
    <row r="3" spans="1:17" ht="18" customHeight="1">
      <c r="A3" s="48">
        <f>NOMINA!A6</f>
        <v>1</v>
      </c>
      <c r="B3" s="197" t="str">
        <f>NOMINA!B6</f>
        <v>ABREU MARRERO LIZ DANIELA</v>
      </c>
      <c r="C3" s="135">
        <f>IF(LEN!F6&lt;51,LEN!F6," ")</f>
        <v>18</v>
      </c>
      <c r="D3" s="135">
        <f>IF(ING!F6&lt;51,ING!F6," ")</f>
        <v>20</v>
      </c>
      <c r="E3" s="135">
        <f>IF('C.SOC'!F6&lt;51,'C.SOC'!F6," ")</f>
        <v>24</v>
      </c>
      <c r="F3" s="135">
        <f>IF('E. FIS.'!F6&lt;51,'E. FIS.'!F6," ")</f>
        <v>23</v>
      </c>
      <c r="G3" s="135">
        <f>IF(MUS.!F6&lt;51,MUS.!F6," ")</f>
        <v>31</v>
      </c>
      <c r="H3" s="135">
        <f>IF('A.PL. '!F6&lt;51,'A.PL. '!F6," ")</f>
        <v>24</v>
      </c>
      <c r="I3" s="135">
        <f>IF(MAT!F6&lt;51,MAT!F6," ")</f>
        <v>21</v>
      </c>
      <c r="J3" s="135">
        <f>IF('T. TEC. GRAL'!F6&lt;51,'T. TEC. GRAL'!F6," ")</f>
        <v>22</v>
      </c>
      <c r="K3" s="135">
        <f>IF('BIO-GEO'!F6&lt;51,'BIO-GEO'!F6," ")</f>
        <v>26</v>
      </c>
      <c r="L3" s="135">
        <f>IF(PSI!F6&lt;51,PSI!F6," ")</f>
        <v>25</v>
      </c>
      <c r="M3" s="135">
        <f>IF('REL.'!F6&lt;51,'REL.'!F6," ")</f>
        <v>22</v>
      </c>
      <c r="N3" s="230">
        <f t="shared" ref="N3:N43" si="0">IF(COUNT(C3:M3)=0," ",COUNT(C3:M3))</f>
        <v>11</v>
      </c>
      <c r="O3" s="133"/>
    </row>
    <row r="4" spans="1:17" ht="18" customHeight="1">
      <c r="A4" s="48">
        <f>NOMINA!A7</f>
        <v>2</v>
      </c>
      <c r="B4" s="197" t="str">
        <f>NOMINA!B7</f>
        <v>ALIAGA SAAVEDRA MARCU MAURICIO</v>
      </c>
      <c r="C4" s="135">
        <f>IF(LEN!F7&lt;51,LEN!F7," ")</f>
        <v>18</v>
      </c>
      <c r="D4" s="135">
        <f>IF(ING!F7&lt;51,ING!F7," ")</f>
        <v>22</v>
      </c>
      <c r="E4" s="135">
        <f>IF('C.SOC'!F7&lt;51,'C.SOC'!F7," ")</f>
        <v>19</v>
      </c>
      <c r="F4" s="135">
        <f>IF('E. FIS.'!F7&lt;51,'E. FIS.'!F7," ")</f>
        <v>18</v>
      </c>
      <c r="G4" s="135">
        <f>IF(MUS.!F7&lt;51,MUS.!F7," ")</f>
        <v>29</v>
      </c>
      <c r="H4" s="135">
        <f>IF('A.PL. '!F7&lt;51,'A.PL. '!F7," ")</f>
        <v>18</v>
      </c>
      <c r="I4" s="135">
        <f>IF(MAT!F7&lt;51,MAT!F7," ")</f>
        <v>20</v>
      </c>
      <c r="J4" s="135">
        <f>IF('T. TEC. GRAL'!F7&lt;51,'T. TEC. GRAL'!F7," ")</f>
        <v>21</v>
      </c>
      <c r="K4" s="135">
        <f>IF('BIO-GEO'!F7&lt;51,'BIO-GEO'!F7," ")</f>
        <v>25</v>
      </c>
      <c r="L4" s="135">
        <f>IF(PSI!F7&lt;51,PSI!F7," ")</f>
        <v>27</v>
      </c>
      <c r="M4" s="135">
        <f>IF('REL.'!F7&lt;51,'REL.'!F7," ")</f>
        <v>21</v>
      </c>
      <c r="N4" s="230">
        <f t="shared" si="0"/>
        <v>11</v>
      </c>
      <c r="O4" s="134"/>
    </row>
    <row r="5" spans="1:17" ht="18" customHeight="1">
      <c r="A5" s="48">
        <f>NOMINA!A8</f>
        <v>3</v>
      </c>
      <c r="B5" s="197" t="str">
        <f>NOMINA!B8</f>
        <v>ANTEZANA CACHI JOSE MAXWEL</v>
      </c>
      <c r="C5" s="135">
        <f>IF(LEN!F8&lt;51,LEN!F8," ")</f>
        <v>22</v>
      </c>
      <c r="D5" s="135">
        <f>IF(ING!F8&lt;51,ING!F8," ")</f>
        <v>27</v>
      </c>
      <c r="E5" s="135">
        <f>IF('C.SOC'!F8&lt;51,'C.SOC'!F8," ")</f>
        <v>25</v>
      </c>
      <c r="F5" s="135">
        <f>IF('E. FIS.'!F8&lt;51,'E. FIS.'!F8," ")</f>
        <v>21</v>
      </c>
      <c r="G5" s="135">
        <f>IF(MUS.!F8&lt;51,MUS.!F8," ")</f>
        <v>32</v>
      </c>
      <c r="H5" s="135">
        <f>IF('A.PL. '!F8&lt;51,'A.PL. '!F8," ")</f>
        <v>20</v>
      </c>
      <c r="I5" s="135">
        <f>IF(MAT!F8&lt;51,MAT!F8," ")</f>
        <v>30</v>
      </c>
      <c r="J5" s="135">
        <f>IF('T. TEC. GRAL'!F8&lt;51,'T. TEC. GRAL'!F8," ")</f>
        <v>22</v>
      </c>
      <c r="K5" s="135">
        <f>IF('BIO-GEO'!F8&lt;51,'BIO-GEO'!F8," ")</f>
        <v>25</v>
      </c>
      <c r="L5" s="135">
        <f>IF(PSI!F8&lt;51,PSI!F8," ")</f>
        <v>28</v>
      </c>
      <c r="M5" s="135">
        <f>IF('REL.'!F8&lt;51,'REL.'!F8," ")</f>
        <v>23</v>
      </c>
      <c r="N5" s="230">
        <f t="shared" si="0"/>
        <v>11</v>
      </c>
      <c r="O5" s="134"/>
      <c r="P5" s="250" t="s">
        <v>69</v>
      </c>
      <c r="Q5" s="250"/>
    </row>
    <row r="6" spans="1:17" ht="18" customHeight="1">
      <c r="A6" s="48">
        <f>NOMINA!A9</f>
        <v>4</v>
      </c>
      <c r="B6" s="197" t="str">
        <f>NOMINA!B9</f>
        <v>ARIZACA SALGUERO SANTIAGO</v>
      </c>
      <c r="C6" s="135">
        <f>IF(LEN!F9&lt;51,LEN!F9," ")</f>
        <v>15</v>
      </c>
      <c r="D6" s="135">
        <f>IF(ING!F9&lt;51,ING!F9," ")</f>
        <v>16</v>
      </c>
      <c r="E6" s="135">
        <f>IF('C.SOC'!F9&lt;51,'C.SOC'!F9," ")</f>
        <v>21</v>
      </c>
      <c r="F6" s="135">
        <f>IF('E. FIS.'!F9&lt;51,'E. FIS.'!F9," ")</f>
        <v>25</v>
      </c>
      <c r="G6" s="135">
        <f>IF(MUS.!F9&lt;51,MUS.!F9," ")</f>
        <v>23</v>
      </c>
      <c r="H6" s="135">
        <f>IF('A.PL. '!F9&lt;51,'A.PL. '!F9," ")</f>
        <v>21</v>
      </c>
      <c r="I6" s="135">
        <f>IF(MAT!F9&lt;51,MAT!F9," ")</f>
        <v>20</v>
      </c>
      <c r="J6" s="135">
        <f>IF('T. TEC. GRAL'!F9&lt;51,'T. TEC. GRAL'!F9," ")</f>
        <v>23</v>
      </c>
      <c r="K6" s="135">
        <f>IF('BIO-GEO'!F9&lt;51,'BIO-GEO'!F9," ")</f>
        <v>26</v>
      </c>
      <c r="L6" s="135">
        <f>IF(PSI!F9&lt;51,PSI!F9," ")</f>
        <v>17</v>
      </c>
      <c r="M6" s="135">
        <f>IF('REL.'!F9&lt;51,'REL.'!F9," ")</f>
        <v>17</v>
      </c>
      <c r="N6" s="230">
        <f t="shared" si="0"/>
        <v>11</v>
      </c>
      <c r="O6" s="134"/>
    </row>
    <row r="7" spans="1:17" ht="18" customHeight="1">
      <c r="A7" s="48">
        <f>NOMINA!A10</f>
        <v>5</v>
      </c>
      <c r="B7" s="197" t="str">
        <f>NOMINA!B10</f>
        <v>BAUTISTA GARCIA ALISON LUCIANA</v>
      </c>
      <c r="C7" s="135">
        <f>IF(LEN!F10&lt;51,LEN!F10," ")</f>
        <v>17</v>
      </c>
      <c r="D7" s="135">
        <f>IF(ING!F10&lt;51,ING!F10," ")</f>
        <v>19</v>
      </c>
      <c r="E7" s="135">
        <f>IF('C.SOC'!F10&lt;51,'C.SOC'!F10," ")</f>
        <v>17</v>
      </c>
      <c r="F7" s="135">
        <f>IF('E. FIS.'!F10&lt;51,'E. FIS.'!F10," ")</f>
        <v>22</v>
      </c>
      <c r="G7" s="135">
        <f>IF(MUS.!F10&lt;51,MUS.!F10," ")</f>
        <v>25</v>
      </c>
      <c r="H7" s="135">
        <f>IF('A.PL. '!F10&lt;51,'A.PL. '!F10," ")</f>
        <v>24</v>
      </c>
      <c r="I7" s="135">
        <f>IF(MAT!F10&lt;51,MAT!F10," ")</f>
        <v>19</v>
      </c>
      <c r="J7" s="135">
        <f>IF('T. TEC. GRAL'!F10&lt;51,'T. TEC. GRAL'!F10," ")</f>
        <v>24</v>
      </c>
      <c r="K7" s="135">
        <f>IF('BIO-GEO'!F10&lt;51,'BIO-GEO'!F10," ")</f>
        <v>23</v>
      </c>
      <c r="L7" s="135">
        <f>IF(PSI!F10&lt;51,PSI!F10," ")</f>
        <v>22</v>
      </c>
      <c r="M7" s="135">
        <f>IF('REL.'!F10&lt;51,'REL.'!F10," ")</f>
        <v>26</v>
      </c>
      <c r="N7" s="230">
        <f t="shared" si="0"/>
        <v>11</v>
      </c>
      <c r="O7" s="134"/>
    </row>
    <row r="8" spans="1:17" ht="18" customHeight="1">
      <c r="A8" s="48">
        <f>NOMINA!A11</f>
        <v>6</v>
      </c>
      <c r="B8" s="197" t="str">
        <f>NOMINA!B11</f>
        <v>BOLIVAR REVOLLO NIVARDO ADOLFO</v>
      </c>
      <c r="C8" s="135">
        <f>IF(LEN!F11&lt;51,LEN!F11," ")</f>
        <v>17</v>
      </c>
      <c r="D8" s="135">
        <f>IF(ING!F11&lt;51,ING!F11," ")</f>
        <v>21</v>
      </c>
      <c r="E8" s="135">
        <f>IF('C.SOC'!F11&lt;51,'C.SOC'!F11," ")</f>
        <v>14</v>
      </c>
      <c r="F8" s="135">
        <f>IF('E. FIS.'!F11&lt;51,'E. FIS.'!F11," ")</f>
        <v>20</v>
      </c>
      <c r="G8" s="135">
        <f>IF(MUS.!F11&lt;51,MUS.!F11," ")</f>
        <v>24</v>
      </c>
      <c r="H8" s="135">
        <f>IF('A.PL. '!F11&lt;51,'A.PL. '!F11," ")</f>
        <v>18</v>
      </c>
      <c r="I8" s="135">
        <f>IF(MAT!F11&lt;51,MAT!F11," ")</f>
        <v>15</v>
      </c>
      <c r="J8" s="135">
        <f>IF('T. TEC. GRAL'!F11&lt;51,'T. TEC. GRAL'!F11," ")</f>
        <v>22</v>
      </c>
      <c r="K8" s="135">
        <f>IF('BIO-GEO'!F11&lt;51,'BIO-GEO'!F11," ")</f>
        <v>20</v>
      </c>
      <c r="L8" s="135">
        <f>IF(PSI!F11&lt;51,PSI!F11," ")</f>
        <v>21</v>
      </c>
      <c r="M8" s="135">
        <f>IF('REL.'!F11&lt;51,'REL.'!F11," ")</f>
        <v>26</v>
      </c>
      <c r="N8" s="230">
        <f t="shared" si="0"/>
        <v>11</v>
      </c>
      <c r="O8" s="134"/>
    </row>
    <row r="9" spans="1:17" ht="18" customHeight="1">
      <c r="A9" s="48">
        <f>NOMINA!A12</f>
        <v>7</v>
      </c>
      <c r="B9" s="197" t="str">
        <f>NOMINA!B12</f>
        <v>CADIMA SOLIZ NICOLAS</v>
      </c>
      <c r="C9" s="135">
        <f>IF(LEN!F12&lt;51,LEN!F12," ")</f>
        <v>15</v>
      </c>
      <c r="D9" s="135">
        <f>IF(ING!F12&lt;51,ING!F12," ")</f>
        <v>16</v>
      </c>
      <c r="E9" s="135">
        <f>IF('C.SOC'!F12&lt;51,'C.SOC'!F12," ")</f>
        <v>13</v>
      </c>
      <c r="F9" s="135">
        <f>IF('E. FIS.'!F12&lt;51,'E. FIS.'!F12," ")</f>
        <v>23</v>
      </c>
      <c r="G9" s="135">
        <f>IF(MUS.!F12&lt;51,MUS.!F12," ")</f>
        <v>22</v>
      </c>
      <c r="H9" s="135">
        <f>IF('A.PL. '!F12&lt;51,'A.PL. '!F12," ")</f>
        <v>20</v>
      </c>
      <c r="I9" s="135">
        <f>IF(MAT!F12&lt;51,MAT!F12," ")</f>
        <v>15</v>
      </c>
      <c r="J9" s="135">
        <f>IF('T. TEC. GRAL'!F12&lt;51,'T. TEC. GRAL'!F12," ")</f>
        <v>19</v>
      </c>
      <c r="K9" s="135">
        <f>IF('BIO-GEO'!F12&lt;51,'BIO-GEO'!F12," ")</f>
        <v>22</v>
      </c>
      <c r="L9" s="135">
        <f>IF(PSI!F12&lt;51,PSI!F12," ")</f>
        <v>22</v>
      </c>
      <c r="M9" s="135">
        <f>IF('REL.'!F12&lt;51,'REL.'!F12," ")</f>
        <v>22</v>
      </c>
      <c r="N9" s="230">
        <f t="shared" si="0"/>
        <v>11</v>
      </c>
      <c r="O9" s="134"/>
    </row>
    <row r="10" spans="1:17" ht="18" customHeight="1">
      <c r="A10" s="48">
        <f>NOMINA!A13</f>
        <v>8</v>
      </c>
      <c r="B10" s="197" t="str">
        <f>NOMINA!B13</f>
        <v>CALLE PEREZ ANDREA BELEN</v>
      </c>
      <c r="C10" s="135">
        <f>IF(LEN!F13&lt;51,LEN!F13," ")</f>
        <v>26</v>
      </c>
      <c r="D10" s="135">
        <f>IF(ING!F13&lt;51,ING!F13," ")</f>
        <v>27</v>
      </c>
      <c r="E10" s="135">
        <f>IF('C.SOC'!F13&lt;51,'C.SOC'!F13," ")</f>
        <v>25</v>
      </c>
      <c r="F10" s="135">
        <f>IF('E. FIS.'!F13&lt;51,'E. FIS.'!F13," ")</f>
        <v>22</v>
      </c>
      <c r="G10" s="135">
        <f>IF(MUS.!F13&lt;51,MUS.!F13," ")</f>
        <v>32</v>
      </c>
      <c r="H10" s="135">
        <f>IF('A.PL. '!F13&lt;51,'A.PL. '!F13," ")</f>
        <v>23</v>
      </c>
      <c r="I10" s="135">
        <f>IF(MAT!F13&lt;51,MAT!F13," ")</f>
        <v>31</v>
      </c>
      <c r="J10" s="135">
        <f>IF('T. TEC. GRAL'!F13&lt;51,'T. TEC. GRAL'!F13," ")</f>
        <v>26</v>
      </c>
      <c r="K10" s="135">
        <f>IF('BIO-GEO'!F13&lt;51,'BIO-GEO'!F13," ")</f>
        <v>28</v>
      </c>
      <c r="L10" s="135">
        <f>IF(PSI!F13&lt;51,PSI!F13," ")</f>
        <v>27</v>
      </c>
      <c r="M10" s="135">
        <f>IF('REL.'!F13&lt;51,'REL.'!F13," ")</f>
        <v>25</v>
      </c>
      <c r="N10" s="230">
        <f t="shared" si="0"/>
        <v>11</v>
      </c>
      <c r="O10" s="134"/>
    </row>
    <row r="11" spans="1:17" ht="18" customHeight="1">
      <c r="A11" s="48">
        <f>NOMINA!A14</f>
        <v>9</v>
      </c>
      <c r="B11" s="197" t="str">
        <f>NOMINA!B14</f>
        <v>CHAVEZ AMURRIO SEBASTIAN FABIAN</v>
      </c>
      <c r="C11" s="135">
        <f>IF(LEN!F14&lt;51,LEN!F14," ")</f>
        <v>15</v>
      </c>
      <c r="D11" s="135">
        <f>IF(ING!F14&lt;51,ING!F14," ")</f>
        <v>15</v>
      </c>
      <c r="E11" s="135">
        <f>IF('C.SOC'!F14&lt;51,'C.SOC'!F14," ")</f>
        <v>19</v>
      </c>
      <c r="F11" s="135">
        <f>IF('E. FIS.'!F14&lt;51,'E. FIS.'!F14," ")</f>
        <v>15</v>
      </c>
      <c r="G11" s="135">
        <f>IF(MUS.!F14&lt;51,MUS.!F14," ")</f>
        <v>18</v>
      </c>
      <c r="H11" s="135">
        <f>IF('A.PL. '!F14&lt;51,'A.PL. '!F14," ")</f>
        <v>22</v>
      </c>
      <c r="I11" s="135">
        <f>IF(MAT!F14&lt;51,MAT!F14," ")</f>
        <v>16</v>
      </c>
      <c r="J11" s="135">
        <f>IF('T. TEC. GRAL'!F14&lt;51,'T. TEC. GRAL'!F14," ")</f>
        <v>15</v>
      </c>
      <c r="K11" s="135">
        <f>IF('BIO-GEO'!F14&lt;51,'BIO-GEO'!F14," ")</f>
        <v>12</v>
      </c>
      <c r="L11" s="135">
        <f>IF(PSI!F14&lt;51,PSI!F14," ")</f>
        <v>15</v>
      </c>
      <c r="M11" s="135">
        <f>IF('REL.'!F14&lt;51,'REL.'!F14," ")</f>
        <v>17</v>
      </c>
      <c r="N11" s="230">
        <f t="shared" si="0"/>
        <v>11</v>
      </c>
      <c r="O11" s="134"/>
    </row>
    <row r="12" spans="1:17" ht="18" customHeight="1">
      <c r="A12" s="48">
        <f>NOMINA!A15</f>
        <v>10</v>
      </c>
      <c r="B12" s="197" t="str">
        <f>NOMINA!B15</f>
        <v>CHOQUE ARISPE YURIANA LUCIA</v>
      </c>
      <c r="C12" s="135">
        <f>IF(LEN!F15&lt;51,LEN!F15," ")</f>
        <v>17</v>
      </c>
      <c r="D12" s="135">
        <f>IF(ING!F15&lt;51,ING!F15," ")</f>
        <v>19</v>
      </c>
      <c r="E12" s="135">
        <f>IF('C.SOC'!F15&lt;51,'C.SOC'!F15," ")</f>
        <v>15</v>
      </c>
      <c r="F12" s="135">
        <f>IF('E. FIS.'!F15&lt;51,'E. FIS.'!F15," ")</f>
        <v>18</v>
      </c>
      <c r="G12" s="135">
        <f>IF(MUS.!F15&lt;51,MUS.!F15," ")</f>
        <v>19</v>
      </c>
      <c r="H12" s="135">
        <f>IF('A.PL. '!F15&lt;51,'A.PL. '!F15," ")</f>
        <v>22</v>
      </c>
      <c r="I12" s="135">
        <f>IF(MAT!F15&lt;51,MAT!F15," ")</f>
        <v>17</v>
      </c>
      <c r="J12" s="135">
        <f>IF('T. TEC. GRAL'!F15&lt;51,'T. TEC. GRAL'!F15," ")</f>
        <v>22</v>
      </c>
      <c r="K12" s="135">
        <f>IF('BIO-GEO'!F15&lt;51,'BIO-GEO'!F15," ")</f>
        <v>22</v>
      </c>
      <c r="L12" s="135">
        <f>IF(PSI!F15&lt;51,PSI!F15," ")</f>
        <v>22</v>
      </c>
      <c r="M12" s="135">
        <f>IF('REL.'!F15&lt;51,'REL.'!F15," ")</f>
        <v>21</v>
      </c>
      <c r="N12" s="230">
        <f t="shared" si="0"/>
        <v>11</v>
      </c>
      <c r="O12" s="134"/>
    </row>
    <row r="13" spans="1:17" ht="18" customHeight="1">
      <c r="A13" s="48">
        <f>NOMINA!A16</f>
        <v>11</v>
      </c>
      <c r="B13" s="197" t="str">
        <f>NOMINA!B16</f>
        <v>CHOQUE PERALTA JHOEL ELIAZAR</v>
      </c>
      <c r="C13" s="135">
        <f>IF(LEN!F16&lt;51,LEN!F16," ")</f>
        <v>28</v>
      </c>
      <c r="D13" s="135">
        <f>IF(ING!F16&lt;51,ING!F16," ")</f>
        <v>30</v>
      </c>
      <c r="E13" s="135">
        <f>IF('C.SOC'!F16&lt;51,'C.SOC'!F16," ")</f>
        <v>27</v>
      </c>
      <c r="F13" s="135">
        <f>IF('E. FIS.'!F16&lt;51,'E. FIS.'!F16," ")</f>
        <v>25</v>
      </c>
      <c r="G13" s="135">
        <f>IF(MUS.!F16&lt;51,MUS.!F16," ")</f>
        <v>31</v>
      </c>
      <c r="H13" s="135">
        <f>IF('A.PL. '!F16&lt;51,'A.PL. '!F16," ")</f>
        <v>24</v>
      </c>
      <c r="I13" s="135">
        <f>IF(MAT!F16&lt;51,MAT!F16," ")</f>
        <v>28</v>
      </c>
      <c r="J13" s="135">
        <f>IF('T. TEC. GRAL'!F16&lt;51,'T. TEC. GRAL'!F16," ")</f>
        <v>22</v>
      </c>
      <c r="K13" s="135">
        <f>IF('BIO-GEO'!F16&lt;51,'BIO-GEO'!F16," ")</f>
        <v>27</v>
      </c>
      <c r="L13" s="135">
        <f>IF(PSI!F16&lt;51,PSI!F16," ")</f>
        <v>28</v>
      </c>
      <c r="M13" s="135">
        <f>IF('REL.'!F16&lt;51,'REL.'!F16," ")</f>
        <v>23</v>
      </c>
      <c r="N13" s="230">
        <f t="shared" si="0"/>
        <v>11</v>
      </c>
      <c r="O13" s="134"/>
    </row>
    <row r="14" spans="1:17" ht="18" customHeight="1">
      <c r="A14" s="48">
        <f>NOMINA!A17</f>
        <v>12</v>
      </c>
      <c r="B14" s="197" t="str">
        <f>NOMINA!B17</f>
        <v>COPA RIVERO MARCIA MARCELA</v>
      </c>
      <c r="C14" s="135">
        <f>IF(LEN!F17&lt;51,LEN!F17," ")</f>
        <v>14</v>
      </c>
      <c r="D14" s="135">
        <f>IF(ING!F17&lt;51,ING!F17," ")</f>
        <v>22</v>
      </c>
      <c r="E14" s="135">
        <f>IF('C.SOC'!F17&lt;51,'C.SOC'!F17," ")</f>
        <v>17</v>
      </c>
      <c r="F14" s="135">
        <f>IF('E. FIS.'!F17&lt;51,'E. FIS.'!F17," ")</f>
        <v>27</v>
      </c>
      <c r="G14" s="135">
        <f>IF(MUS.!F17&lt;51,MUS.!F17," ")</f>
        <v>23</v>
      </c>
      <c r="H14" s="135">
        <f>IF('A.PL. '!F17&lt;51,'A.PL. '!F17," ")</f>
        <v>20</v>
      </c>
      <c r="I14" s="135">
        <f>IF(MAT!F17&lt;51,MAT!F17," ")</f>
        <v>17</v>
      </c>
      <c r="J14" s="135">
        <f>IF('T. TEC. GRAL'!F17&lt;51,'T. TEC. GRAL'!F17," ")</f>
        <v>19</v>
      </c>
      <c r="K14" s="135">
        <f>IF('BIO-GEO'!F17&lt;51,'BIO-GEO'!F17," ")</f>
        <v>20</v>
      </c>
      <c r="L14" s="135">
        <f>IF(PSI!F17&lt;51,PSI!F17," ")</f>
        <v>17</v>
      </c>
      <c r="M14" s="135">
        <f>IF('REL.'!F17&lt;51,'REL.'!F17," ")</f>
        <v>24</v>
      </c>
      <c r="N14" s="230">
        <f t="shared" si="0"/>
        <v>11</v>
      </c>
      <c r="O14" s="134"/>
    </row>
    <row r="15" spans="1:17" ht="18" customHeight="1">
      <c r="A15" s="48">
        <f>NOMINA!A18</f>
        <v>13</v>
      </c>
      <c r="B15" s="197" t="str">
        <f>NOMINA!B18</f>
        <v>CORIA URUÑO CHRISTOPER GABRIEL</v>
      </c>
      <c r="C15" s="135">
        <f>IF(LEN!F18&lt;51,LEN!F18," ")</f>
        <v>23</v>
      </c>
      <c r="D15" s="135">
        <f>IF(ING!F18&lt;51,ING!F18," ")</f>
        <v>25</v>
      </c>
      <c r="E15" s="135">
        <f>IF('C.SOC'!F18&lt;51,'C.SOC'!F18," ")</f>
        <v>17</v>
      </c>
      <c r="F15" s="135">
        <f>IF('E. FIS.'!F18&lt;51,'E. FIS.'!F18," ")</f>
        <v>26</v>
      </c>
      <c r="G15" s="135">
        <f>IF(MUS.!F18&lt;51,MUS.!F18," ")</f>
        <v>31</v>
      </c>
      <c r="H15" s="135">
        <f>IF('A.PL. '!F18&lt;51,'A.PL. '!F18," ")</f>
        <v>21</v>
      </c>
      <c r="I15" s="135">
        <f>IF(MAT!F18&lt;51,MAT!F18," ")</f>
        <v>29</v>
      </c>
      <c r="J15" s="135">
        <f>IF('T. TEC. GRAL'!F18&lt;51,'T. TEC. GRAL'!F18," ")</f>
        <v>23</v>
      </c>
      <c r="K15" s="135">
        <f>IF('BIO-GEO'!F18&lt;51,'BIO-GEO'!F18," ")</f>
        <v>26</v>
      </c>
      <c r="L15" s="135">
        <f>IF(PSI!F18&lt;51,PSI!F18," ")</f>
        <v>23</v>
      </c>
      <c r="M15" s="135">
        <f>IF('REL.'!F18&lt;51,'REL.'!F18," ")</f>
        <v>20</v>
      </c>
      <c r="N15" s="230">
        <f t="shared" si="0"/>
        <v>11</v>
      </c>
      <c r="O15" s="134"/>
    </row>
    <row r="16" spans="1:17" ht="18" customHeight="1">
      <c r="A16" s="48">
        <f>NOMINA!A19</f>
        <v>14</v>
      </c>
      <c r="B16" s="197" t="str">
        <f>NOMINA!B19</f>
        <v>FLORES BALLESTEROS LEANDRO FRANK</v>
      </c>
      <c r="C16" s="135">
        <f>IF(LEN!F19&lt;51,LEN!F19," ")</f>
        <v>23</v>
      </c>
      <c r="D16" s="135">
        <f>IF(ING!F19&lt;51,ING!F19," ")</f>
        <v>20</v>
      </c>
      <c r="E16" s="135">
        <f>IF('C.SOC'!F19&lt;51,'C.SOC'!F19," ")</f>
        <v>18</v>
      </c>
      <c r="F16" s="135">
        <f>IF('E. FIS.'!F19&lt;51,'E. FIS.'!F19," ")</f>
        <v>24</v>
      </c>
      <c r="G16" s="135">
        <f>IF(MUS.!F19&lt;51,MUS.!F19," ")</f>
        <v>28</v>
      </c>
      <c r="H16" s="135">
        <f>IF('A.PL. '!F19&lt;51,'A.PL. '!F19," ")</f>
        <v>25</v>
      </c>
      <c r="I16" s="135">
        <f>IF(MAT!F19&lt;51,MAT!F19," ")</f>
        <v>24</v>
      </c>
      <c r="J16" s="135">
        <f>IF('T. TEC. GRAL'!F19&lt;51,'T. TEC. GRAL'!F19," ")</f>
        <v>23</v>
      </c>
      <c r="K16" s="135">
        <f>IF('BIO-GEO'!F19&lt;51,'BIO-GEO'!F19," ")</f>
        <v>27</v>
      </c>
      <c r="L16" s="135">
        <f>IF(PSI!F19&lt;51,PSI!F19," ")</f>
        <v>21</v>
      </c>
      <c r="M16" s="135">
        <f>IF('REL.'!F19&lt;51,'REL.'!F19," ")</f>
        <v>22</v>
      </c>
      <c r="N16" s="230">
        <f t="shared" si="0"/>
        <v>11</v>
      </c>
      <c r="O16" s="134"/>
    </row>
    <row r="17" spans="1:15" ht="18" customHeight="1">
      <c r="A17" s="48">
        <f>NOMINA!A20</f>
        <v>15</v>
      </c>
      <c r="B17" s="197" t="str">
        <f>NOMINA!B20</f>
        <v>GONZALES MOLINA ARIANET BELEN</v>
      </c>
      <c r="C17" s="135">
        <f>IF(LEN!F20&lt;51,LEN!F20," ")</f>
        <v>26</v>
      </c>
      <c r="D17" s="135">
        <f>IF(ING!F20&lt;51,ING!F20," ")</f>
        <v>26</v>
      </c>
      <c r="E17" s="135">
        <f>IF('C.SOC'!F20&lt;51,'C.SOC'!F20," ")</f>
        <v>25</v>
      </c>
      <c r="F17" s="135">
        <f>IF('E. FIS.'!F20&lt;51,'E. FIS.'!F20," ")</f>
        <v>28</v>
      </c>
      <c r="G17" s="135">
        <f>IF(MUS.!F20&lt;51,MUS.!F20," ")</f>
        <v>31</v>
      </c>
      <c r="H17" s="135">
        <f>IF('A.PL. '!F20&lt;51,'A.PL. '!F20," ")</f>
        <v>27</v>
      </c>
      <c r="I17" s="135">
        <f>IF(MAT!F20&lt;51,MAT!F20," ")</f>
        <v>29</v>
      </c>
      <c r="J17" s="135">
        <f>IF('T. TEC. GRAL'!F20&lt;51,'T. TEC. GRAL'!F20," ")</f>
        <v>29</v>
      </c>
      <c r="K17" s="135">
        <f>IF('BIO-GEO'!F20&lt;51,'BIO-GEO'!F20," ")</f>
        <v>24</v>
      </c>
      <c r="L17" s="135">
        <f>IF(PSI!F20&lt;51,PSI!F20," ")</f>
        <v>28</v>
      </c>
      <c r="M17" s="135">
        <f>IF('REL.'!F20&lt;51,'REL.'!F20," ")</f>
        <v>25</v>
      </c>
      <c r="N17" s="230">
        <f t="shared" si="0"/>
        <v>11</v>
      </c>
      <c r="O17" s="134"/>
    </row>
    <row r="18" spans="1:15" ht="18" customHeight="1">
      <c r="A18" s="48">
        <f>NOMINA!A21</f>
        <v>16</v>
      </c>
      <c r="B18" s="197" t="str">
        <f>NOMINA!B21</f>
        <v>GUAQUIPA BECERRA NICOLAS ALEX</v>
      </c>
      <c r="C18" s="135">
        <f>IF(LEN!F21&lt;51,LEN!F21," ")</f>
        <v>26</v>
      </c>
      <c r="D18" s="135">
        <f>IF(ING!F21&lt;51,ING!F21," ")</f>
        <v>28</v>
      </c>
      <c r="E18" s="135">
        <f>IF('C.SOC'!F21&lt;51,'C.SOC'!F21," ")</f>
        <v>22</v>
      </c>
      <c r="F18" s="135">
        <f>IF('E. FIS.'!F21&lt;51,'E. FIS.'!F21," ")</f>
        <v>28</v>
      </c>
      <c r="G18" s="135">
        <f>IF(MUS.!F21&lt;51,MUS.!F21," ")</f>
        <v>30</v>
      </c>
      <c r="H18" s="135">
        <f>IF('A.PL. '!F21&lt;51,'A.PL. '!F21," ")</f>
        <v>23</v>
      </c>
      <c r="I18" s="135">
        <f>IF(MAT!F21&lt;51,MAT!F21," ")</f>
        <v>28</v>
      </c>
      <c r="J18" s="135">
        <f>IF('T. TEC. GRAL'!F21&lt;51,'T. TEC. GRAL'!F21," ")</f>
        <v>24</v>
      </c>
      <c r="K18" s="135">
        <f>IF('BIO-GEO'!F21&lt;51,'BIO-GEO'!F21," ")</f>
        <v>28</v>
      </c>
      <c r="L18" s="135">
        <f>IF(PSI!F21&lt;51,PSI!F21," ")</f>
        <v>27</v>
      </c>
      <c r="M18" s="135">
        <f>IF('REL.'!F21&lt;51,'REL.'!F21," ")</f>
        <v>27</v>
      </c>
      <c r="N18" s="230">
        <f t="shared" si="0"/>
        <v>11</v>
      </c>
      <c r="O18" s="134"/>
    </row>
    <row r="19" spans="1:15" ht="18" customHeight="1">
      <c r="A19" s="48">
        <f>NOMINA!A22</f>
        <v>17</v>
      </c>
      <c r="B19" s="197" t="str">
        <f>NOMINA!B22</f>
        <v>HUANQUIRI MAMANI JHOSMAR</v>
      </c>
      <c r="C19" s="135">
        <f>IF(LEN!F22&lt;51,LEN!F22," ")</f>
        <v>14</v>
      </c>
      <c r="D19" s="135">
        <f>IF(ING!F22&lt;51,ING!F22," ")</f>
        <v>14</v>
      </c>
      <c r="E19" s="135">
        <f>IF('C.SOC'!F22&lt;51,'C.SOC'!F22," ")</f>
        <v>12</v>
      </c>
      <c r="F19" s="135">
        <f>IF('E. FIS.'!F22&lt;51,'E. FIS.'!F22," ")</f>
        <v>23</v>
      </c>
      <c r="G19" s="135">
        <f>IF(MUS.!F22&lt;51,MUS.!F22," ")</f>
        <v>18</v>
      </c>
      <c r="H19" s="135">
        <f>IF('A.PL. '!F22&lt;51,'A.PL. '!F22," ")</f>
        <v>18</v>
      </c>
      <c r="I19" s="135">
        <f>IF(MAT!F22&lt;51,MAT!F22," ")</f>
        <v>17</v>
      </c>
      <c r="J19" s="135">
        <f>IF('T. TEC. GRAL'!F22&lt;51,'T. TEC. GRAL'!F22," ")</f>
        <v>16</v>
      </c>
      <c r="K19" s="135">
        <f>IF('BIO-GEO'!F22&lt;51,'BIO-GEO'!F22," ")</f>
        <v>12</v>
      </c>
      <c r="L19" s="135">
        <f>IF(PSI!F22&lt;51,PSI!F22," ")</f>
        <v>16</v>
      </c>
      <c r="M19" s="135">
        <f>IF('REL.'!F22&lt;51,'REL.'!F22," ")</f>
        <v>23</v>
      </c>
      <c r="N19" s="230">
        <f t="shared" si="0"/>
        <v>11</v>
      </c>
      <c r="O19" s="134"/>
    </row>
    <row r="20" spans="1:15" ht="18" customHeight="1">
      <c r="A20" s="48">
        <f>NOMINA!A23</f>
        <v>18</v>
      </c>
      <c r="B20" s="197" t="str">
        <f>NOMINA!B23</f>
        <v>JOVE ARNEZ ANDREA LUCIANA</v>
      </c>
      <c r="C20" s="135">
        <f>IF(LEN!F23&lt;51,LEN!F23," ")</f>
        <v>17</v>
      </c>
      <c r="D20" s="135">
        <f>IF(ING!F23&lt;51,ING!F23," ")</f>
        <v>14</v>
      </c>
      <c r="E20" s="135">
        <f>IF('C.SOC'!F23&lt;51,'C.SOC'!F23," ")</f>
        <v>23</v>
      </c>
      <c r="F20" s="135">
        <f>IF('E. FIS.'!F23&lt;51,'E. FIS.'!F23," ")</f>
        <v>13</v>
      </c>
      <c r="G20" s="135">
        <f>IF(MUS.!F23&lt;51,MUS.!F23," ")</f>
        <v>13</v>
      </c>
      <c r="H20" s="135">
        <f>IF('A.PL. '!F23&lt;51,'A.PL. '!F23," ")</f>
        <v>19</v>
      </c>
      <c r="I20" s="135">
        <f>IF(MAT!F23&lt;51,MAT!F23," ")</f>
        <v>20</v>
      </c>
      <c r="J20" s="135">
        <f>IF('T. TEC. GRAL'!F23&lt;51,'T. TEC. GRAL'!F23," ")</f>
        <v>22</v>
      </c>
      <c r="K20" s="135">
        <f>IF('BIO-GEO'!F23&lt;51,'BIO-GEO'!F23," ")</f>
        <v>17</v>
      </c>
      <c r="L20" s="135">
        <f>IF(PSI!F23&lt;51,PSI!F23," ")</f>
        <v>27</v>
      </c>
      <c r="M20" s="135">
        <f>IF('REL.'!F23&lt;51,'REL.'!F23," ")</f>
        <v>18</v>
      </c>
      <c r="N20" s="230">
        <f t="shared" si="0"/>
        <v>11</v>
      </c>
      <c r="O20" s="134"/>
    </row>
    <row r="21" spans="1:15" ht="18" customHeight="1">
      <c r="A21" s="48">
        <f>NOMINA!A24</f>
        <v>19</v>
      </c>
      <c r="B21" s="197" t="str">
        <f>NOMINA!B24</f>
        <v>LAFUENTE ORTUÑO VICTORIA VALENTINA</v>
      </c>
      <c r="C21" s="135">
        <f>IF(LEN!F24&lt;51,LEN!F24," ")</f>
        <v>14</v>
      </c>
      <c r="D21" s="135">
        <f>IF(ING!F24&lt;51,ING!F24," ")</f>
        <v>17</v>
      </c>
      <c r="E21" s="135">
        <f>IF('C.SOC'!F24&lt;51,'C.SOC'!F24," ")</f>
        <v>12</v>
      </c>
      <c r="F21" s="135">
        <f>IF('E. FIS.'!F24&lt;51,'E. FIS.'!F24," ")</f>
        <v>22</v>
      </c>
      <c r="G21" s="135">
        <f>IF(MUS.!F24&lt;51,MUS.!F24," ")</f>
        <v>15</v>
      </c>
      <c r="H21" s="135">
        <f>IF('A.PL. '!F24&lt;51,'A.PL. '!F24," ")</f>
        <v>17</v>
      </c>
      <c r="I21" s="135">
        <f>IF(MAT!F24&lt;51,MAT!F24," ")</f>
        <v>15</v>
      </c>
      <c r="J21" s="135">
        <f>IF('T. TEC. GRAL'!F24&lt;51,'T. TEC. GRAL'!F24," ")</f>
        <v>19</v>
      </c>
      <c r="K21" s="135">
        <f>IF('BIO-GEO'!F24&lt;51,'BIO-GEO'!F24," ")</f>
        <v>17</v>
      </c>
      <c r="L21" s="135">
        <f>IF(PSI!F24&lt;51,PSI!F24," ")</f>
        <v>18</v>
      </c>
      <c r="M21" s="135">
        <f>IF('REL.'!F24&lt;51,'REL.'!F24," ")</f>
        <v>19</v>
      </c>
      <c r="N21" s="230">
        <f t="shared" si="0"/>
        <v>11</v>
      </c>
      <c r="O21" s="134"/>
    </row>
    <row r="22" spans="1:15" ht="18" customHeight="1">
      <c r="A22" s="48">
        <f>NOMINA!A25</f>
        <v>20</v>
      </c>
      <c r="B22" s="197" t="str">
        <f>NOMINA!B25</f>
        <v>MAGNANI CANAVIRI JOSUE JHONATHAN</v>
      </c>
      <c r="C22" s="135">
        <f>IF(LEN!F25&lt;51,LEN!F25," ")</f>
        <v>20</v>
      </c>
      <c r="D22" s="135">
        <f>IF(ING!F25&lt;51,ING!F25," ")</f>
        <v>17</v>
      </c>
      <c r="E22" s="135">
        <f>IF('C.SOC'!F25&lt;51,'C.SOC'!F25," ")</f>
        <v>13</v>
      </c>
      <c r="F22" s="135">
        <f>IF('E. FIS.'!F25&lt;51,'E. FIS.'!F25," ")</f>
        <v>26</v>
      </c>
      <c r="G22" s="135">
        <f>IF(MUS.!F25&lt;51,MUS.!F25," ")</f>
        <v>26</v>
      </c>
      <c r="H22" s="135">
        <f>IF('A.PL. '!F25&lt;51,'A.PL. '!F25," ")</f>
        <v>24</v>
      </c>
      <c r="I22" s="135">
        <f>IF(MAT!F25&lt;51,MAT!F25," ")</f>
        <v>20</v>
      </c>
      <c r="J22" s="135">
        <f>IF('T. TEC. GRAL'!F25&lt;51,'T. TEC. GRAL'!F25," ")</f>
        <v>20</v>
      </c>
      <c r="K22" s="135">
        <f>IF('BIO-GEO'!F25&lt;51,'BIO-GEO'!F25," ")</f>
        <v>23</v>
      </c>
      <c r="L22" s="135">
        <f>IF(PSI!F25&lt;51,PSI!F25," ")</f>
        <v>20</v>
      </c>
      <c r="M22" s="135">
        <f>IF('REL.'!F25&lt;51,'REL.'!F25," ")</f>
        <v>22</v>
      </c>
      <c r="N22" s="230">
        <f t="shared" si="0"/>
        <v>11</v>
      </c>
      <c r="O22" s="134"/>
    </row>
    <row r="23" spans="1:15" ht="18" customHeight="1">
      <c r="A23" s="48">
        <f>NOMINA!A26</f>
        <v>21</v>
      </c>
      <c r="B23" s="197" t="str">
        <f>NOMINA!B26</f>
        <v>MERUVIA GUTIERREZ ASHLY SCARLETT</v>
      </c>
      <c r="C23" s="135">
        <f>IF(LEN!F26&lt;51,LEN!F26," ")</f>
        <v>32</v>
      </c>
      <c r="D23" s="135">
        <f>IF(ING!F26&lt;51,ING!F26," ")</f>
        <v>31</v>
      </c>
      <c r="E23" s="135">
        <f>IF('C.SOC'!F26&lt;51,'C.SOC'!F26," ")</f>
        <v>31</v>
      </c>
      <c r="F23" s="135">
        <f>IF('E. FIS.'!F26&lt;51,'E. FIS.'!F26," ")</f>
        <v>28</v>
      </c>
      <c r="G23" s="135">
        <f>IF(MUS.!F26&lt;51,MUS.!F26," ")</f>
        <v>33</v>
      </c>
      <c r="H23" s="135">
        <f>IF('A.PL. '!F26&lt;51,'A.PL. '!F26," ")</f>
        <v>30</v>
      </c>
      <c r="I23" s="135">
        <f>IF(MAT!F26&lt;51,MAT!F26," ")</f>
        <v>33</v>
      </c>
      <c r="J23" s="135">
        <f>IF('T. TEC. GRAL'!F26&lt;51,'T. TEC. GRAL'!F26," ")</f>
        <v>31</v>
      </c>
      <c r="K23" s="135">
        <f>IF('BIO-GEO'!F26&lt;51,'BIO-GEO'!F26," ")</f>
        <v>30</v>
      </c>
      <c r="L23" s="135">
        <f>IF(PSI!F26&lt;51,PSI!F26," ")</f>
        <v>29</v>
      </c>
      <c r="M23" s="135">
        <f>IF('REL.'!F26&lt;51,'REL.'!F26," ")</f>
        <v>31</v>
      </c>
      <c r="N23" s="230">
        <f t="shared" si="0"/>
        <v>11</v>
      </c>
      <c r="O23" s="134"/>
    </row>
    <row r="24" spans="1:15" ht="18" customHeight="1">
      <c r="A24" s="48">
        <f>NOMINA!A27</f>
        <v>22</v>
      </c>
      <c r="B24" s="197" t="str">
        <f>NOMINA!B27</f>
        <v>MONTAÑO QUILO BENJAMIN GONZALO</v>
      </c>
      <c r="C24" s="135">
        <f>IF(LEN!F27&lt;51,LEN!F27," ")</f>
        <v>15</v>
      </c>
      <c r="D24" s="135">
        <f>IF(ING!F27&lt;51,ING!F27," ")</f>
        <v>16</v>
      </c>
      <c r="E24" s="135">
        <f>IF('C.SOC'!F27&lt;51,'C.SOC'!F27," ")</f>
        <v>13</v>
      </c>
      <c r="F24" s="135">
        <f>IF('E. FIS.'!F27&lt;51,'E. FIS.'!F27," ")</f>
        <v>21</v>
      </c>
      <c r="G24" s="135">
        <f>IF(MUS.!F27&lt;51,MUS.!F27," ")</f>
        <v>15</v>
      </c>
      <c r="H24" s="135">
        <f>IF('A.PL. '!F27&lt;51,'A.PL. '!F27," ")</f>
        <v>19</v>
      </c>
      <c r="I24" s="135">
        <f>IF(MAT!F27&lt;51,MAT!F27," ")</f>
        <v>16</v>
      </c>
      <c r="J24" s="135">
        <f>IF('T. TEC. GRAL'!F27&lt;51,'T. TEC. GRAL'!F27," ")</f>
        <v>18</v>
      </c>
      <c r="K24" s="135">
        <f>IF('BIO-GEO'!F27&lt;51,'BIO-GEO'!F27," ")</f>
        <v>19</v>
      </c>
      <c r="L24" s="135">
        <f>IF(PSI!F27&lt;51,PSI!F27," ")</f>
        <v>14</v>
      </c>
      <c r="M24" s="135">
        <f>IF('REL.'!F27&lt;51,'REL.'!F27," ")</f>
        <v>20</v>
      </c>
      <c r="N24" s="230">
        <f t="shared" si="0"/>
        <v>11</v>
      </c>
      <c r="O24" s="134"/>
    </row>
    <row r="25" spans="1:15" ht="18" customHeight="1">
      <c r="A25" s="48">
        <f>NOMINA!A28</f>
        <v>23</v>
      </c>
      <c r="B25" s="197" t="str">
        <f>NOMINA!B28</f>
        <v>PANIAGUA VARGAS KEYLA</v>
      </c>
      <c r="C25" s="135">
        <f>IF(LEN!F28&lt;51,LEN!F28," ")</f>
        <v>19</v>
      </c>
      <c r="D25" s="135">
        <f>IF(ING!F28&lt;51,ING!F28," ")</f>
        <v>23</v>
      </c>
      <c r="E25" s="135">
        <f>IF('C.SOC'!F28&lt;51,'C.SOC'!F28," ")</f>
        <v>22</v>
      </c>
      <c r="F25" s="135">
        <f>IF('E. FIS.'!F28&lt;51,'E. FIS.'!F28," ")</f>
        <v>26</v>
      </c>
      <c r="G25" s="135">
        <f>IF(MUS.!F28&lt;51,MUS.!F28," ")</f>
        <v>26</v>
      </c>
      <c r="H25" s="135">
        <f>IF('A.PL. '!F28&lt;51,'A.PL. '!F28," ")</f>
        <v>29</v>
      </c>
      <c r="I25" s="135">
        <f>IF(MAT!F28&lt;51,MAT!F28," ")</f>
        <v>18</v>
      </c>
      <c r="J25" s="135">
        <f>IF('T. TEC. GRAL'!F28&lt;51,'T. TEC. GRAL'!F28," ")</f>
        <v>20</v>
      </c>
      <c r="K25" s="135">
        <f>IF('BIO-GEO'!F28&lt;51,'BIO-GEO'!F28," ")</f>
        <v>24</v>
      </c>
      <c r="L25" s="135">
        <f>IF(PSI!F28&lt;51,PSI!F28," ")</f>
        <v>28</v>
      </c>
      <c r="M25" s="135">
        <f>IF('REL.'!F28&lt;51,'REL.'!F28," ")</f>
        <v>26</v>
      </c>
      <c r="N25" s="230">
        <f t="shared" si="0"/>
        <v>11</v>
      </c>
      <c r="O25" s="134"/>
    </row>
    <row r="26" spans="1:15" ht="18" customHeight="1">
      <c r="A26" s="48">
        <f>NOMINA!A29</f>
        <v>24</v>
      </c>
      <c r="B26" s="197" t="str">
        <f>NOMINA!B29</f>
        <v>PATZI GUARACHI MARIA BELEN</v>
      </c>
      <c r="C26" s="135">
        <f>IF(LEN!F29&lt;51,LEN!F29," ")</f>
        <v>29</v>
      </c>
      <c r="D26" s="135">
        <f>IF(ING!F29&lt;51,ING!F29," ")</f>
        <v>31</v>
      </c>
      <c r="E26" s="135">
        <f>IF('C.SOC'!F29&lt;51,'C.SOC'!F29," ")</f>
        <v>23</v>
      </c>
      <c r="F26" s="135">
        <f>IF('E. FIS.'!F29&lt;51,'E. FIS.'!F29," ")</f>
        <v>21</v>
      </c>
      <c r="G26" s="135">
        <f>IF(MUS.!F29&lt;51,MUS.!F29," ")</f>
        <v>33</v>
      </c>
      <c r="H26" s="135">
        <f>IF('A.PL. '!F29&lt;51,'A.PL. '!F29," ")</f>
        <v>21</v>
      </c>
      <c r="I26" s="135">
        <f>IF(MAT!F29&lt;51,MAT!F29," ")</f>
        <v>32</v>
      </c>
      <c r="J26" s="135">
        <f>IF('T. TEC. GRAL'!F29&lt;51,'T. TEC. GRAL'!F29," ")</f>
        <v>25</v>
      </c>
      <c r="K26" s="135">
        <f>IF('BIO-GEO'!F29&lt;51,'BIO-GEO'!F29," ")</f>
        <v>29</v>
      </c>
      <c r="L26" s="135">
        <f>IF(PSI!F29&lt;51,PSI!F29," ")</f>
        <v>29</v>
      </c>
      <c r="M26" s="135">
        <f>IF('REL.'!F29&lt;51,'REL.'!F29," ")</f>
        <v>24</v>
      </c>
      <c r="N26" s="230">
        <f t="shared" si="0"/>
        <v>11</v>
      </c>
      <c r="O26" s="134"/>
    </row>
    <row r="27" spans="1:15" ht="18" customHeight="1">
      <c r="A27" s="48">
        <f>NOMINA!A30</f>
        <v>25</v>
      </c>
      <c r="B27" s="197" t="str">
        <f>NOMINA!B30</f>
        <v>QUENALLATA CESPEDES LUMAIDA YANISS</v>
      </c>
      <c r="C27" s="135">
        <f>IF(LEN!F30&lt;51,LEN!F30," ")</f>
        <v>14</v>
      </c>
      <c r="D27" s="135">
        <f>IF(ING!F30&lt;51,ING!F30," ")</f>
        <v>15</v>
      </c>
      <c r="E27" s="135">
        <f>IF('C.SOC'!F30&lt;51,'C.SOC'!F30," ")</f>
        <v>13</v>
      </c>
      <c r="F27" s="135">
        <f>IF('E. FIS.'!F30&lt;51,'E. FIS.'!F30," ")</f>
        <v>20</v>
      </c>
      <c r="G27" s="135">
        <f>IF(MUS.!F30&lt;51,MUS.!F30," ")</f>
        <v>26</v>
      </c>
      <c r="H27" s="135">
        <f>IF('A.PL. '!F30&lt;51,'A.PL. '!F30," ")</f>
        <v>19</v>
      </c>
      <c r="I27" s="135">
        <f>IF(MAT!F30&lt;51,MAT!F30," ")</f>
        <v>18</v>
      </c>
      <c r="J27" s="135">
        <f>IF('T. TEC. GRAL'!F30&lt;51,'T. TEC. GRAL'!F30," ")</f>
        <v>21</v>
      </c>
      <c r="K27" s="135">
        <f>IF('BIO-GEO'!F30&lt;51,'BIO-GEO'!F30," ")</f>
        <v>24</v>
      </c>
      <c r="L27" s="135">
        <f>IF(PSI!F30&lt;51,PSI!F30," ")</f>
        <v>13</v>
      </c>
      <c r="M27" s="135">
        <f>IF('REL.'!F30&lt;51,'REL.'!F30," ")</f>
        <v>18</v>
      </c>
      <c r="N27" s="230">
        <f t="shared" si="0"/>
        <v>11</v>
      </c>
      <c r="O27" s="134"/>
    </row>
    <row r="28" spans="1:15" ht="18" customHeight="1">
      <c r="A28" s="48">
        <f>NOMINA!A31</f>
        <v>26</v>
      </c>
      <c r="B28" s="197" t="str">
        <f>NOMINA!B31</f>
        <v>QUISPE ESCARZA CIELO</v>
      </c>
      <c r="C28" s="135">
        <f>IF(LEN!F31&lt;51,LEN!F31," ")</f>
        <v>16</v>
      </c>
      <c r="D28" s="135">
        <f>IF(ING!F31&lt;51,ING!F31," ")</f>
        <v>17</v>
      </c>
      <c r="E28" s="135">
        <f>IF('C.SOC'!F31&lt;51,'C.SOC'!F31," ")</f>
        <v>13</v>
      </c>
      <c r="F28" s="135">
        <f>IF('E. FIS.'!F31&lt;51,'E. FIS.'!F31," ")</f>
        <v>18</v>
      </c>
      <c r="G28" s="135">
        <f>IF(MUS.!F31&lt;51,MUS.!F31," ")</f>
        <v>16</v>
      </c>
      <c r="H28" s="135">
        <f>IF('A.PL. '!F31&lt;51,'A.PL. '!F31," ")</f>
        <v>20</v>
      </c>
      <c r="I28" s="135">
        <f>IF(MAT!F31&lt;51,MAT!F31," ")</f>
        <v>16</v>
      </c>
      <c r="J28" s="135">
        <f>IF('T. TEC. GRAL'!F31&lt;51,'T. TEC. GRAL'!F31," ")</f>
        <v>13</v>
      </c>
      <c r="K28" s="135">
        <f>IF('BIO-GEO'!F31&lt;51,'BIO-GEO'!F31," ")</f>
        <v>23</v>
      </c>
      <c r="L28" s="135">
        <f>IF(PSI!F31&lt;51,PSI!F31," ")</f>
        <v>19</v>
      </c>
      <c r="M28" s="135">
        <f>IF('REL.'!F31&lt;51,'REL.'!F31," ")</f>
        <v>21</v>
      </c>
      <c r="N28" s="230">
        <f t="shared" si="0"/>
        <v>11</v>
      </c>
      <c r="O28" s="134"/>
    </row>
    <row r="29" spans="1:15" ht="18" customHeight="1">
      <c r="A29" s="48">
        <f>NOMINA!A32</f>
        <v>27</v>
      </c>
      <c r="B29" s="197" t="str">
        <f>NOMINA!B32</f>
        <v>QUISPE MILAN ADRIAN ANTHONY</v>
      </c>
      <c r="C29" s="135">
        <f>IF(LEN!F32&lt;51,LEN!F32," ")</f>
        <v>19</v>
      </c>
      <c r="D29" s="135">
        <f>IF(ING!F32&lt;51,ING!F32," ")</f>
        <v>18</v>
      </c>
      <c r="E29" s="135">
        <f>IF('C.SOC'!F32&lt;51,'C.SOC'!F32," ")</f>
        <v>15</v>
      </c>
      <c r="F29" s="135">
        <f>IF('E. FIS.'!F32&lt;51,'E. FIS.'!F32," ")</f>
        <v>21</v>
      </c>
      <c r="G29" s="135">
        <f>IF(MUS.!F32&lt;51,MUS.!F32," ")</f>
        <v>22</v>
      </c>
      <c r="H29" s="135">
        <f>IF('A.PL. '!F32&lt;51,'A.PL. '!F32," ")</f>
        <v>20</v>
      </c>
      <c r="I29" s="135">
        <f>IF(MAT!F32&lt;51,MAT!F32," ")</f>
        <v>21</v>
      </c>
      <c r="J29" s="135">
        <f>IF('T. TEC. GRAL'!F32&lt;51,'T. TEC. GRAL'!F32," ")</f>
        <v>25</v>
      </c>
      <c r="K29" s="135">
        <f>IF('BIO-GEO'!F32&lt;51,'BIO-GEO'!F32," ")</f>
        <v>26</v>
      </c>
      <c r="L29" s="135">
        <f>IF(PSI!F32&lt;51,PSI!F32," ")</f>
        <v>24</v>
      </c>
      <c r="M29" s="135">
        <f>IF('REL.'!F32&lt;51,'REL.'!F32," ")</f>
        <v>20</v>
      </c>
      <c r="N29" s="230">
        <f t="shared" si="0"/>
        <v>11</v>
      </c>
      <c r="O29" s="134"/>
    </row>
    <row r="30" spans="1:15" ht="18" customHeight="1">
      <c r="A30" s="48">
        <f>NOMINA!A33</f>
        <v>28</v>
      </c>
      <c r="B30" s="197" t="str">
        <f>NOMINA!B33</f>
        <v>ROMAN TITO MATEO</v>
      </c>
      <c r="C30" s="135">
        <f>IF(LEN!F33&lt;51,LEN!F33," ")</f>
        <v>25</v>
      </c>
      <c r="D30" s="135">
        <f>IF(ING!F33&lt;51,ING!F33," ")</f>
        <v>23</v>
      </c>
      <c r="E30" s="135">
        <f>IF('C.SOC'!F33&lt;51,'C.SOC'!F33," ")</f>
        <v>21</v>
      </c>
      <c r="F30" s="135">
        <f>IF('E. FIS.'!F33&lt;51,'E. FIS.'!F33," ")</f>
        <v>26</v>
      </c>
      <c r="G30" s="135">
        <f>IF(MUS.!F33&lt;51,MUS.!F33," ")</f>
        <v>33</v>
      </c>
      <c r="H30" s="135">
        <f>IF('A.PL. '!F33&lt;51,'A.PL. '!F33," ")</f>
        <v>23</v>
      </c>
      <c r="I30" s="135">
        <f>IF(MAT!F33&lt;51,MAT!F33," ")</f>
        <v>29</v>
      </c>
      <c r="J30" s="135">
        <f>IF('T. TEC. GRAL'!F33&lt;51,'T. TEC. GRAL'!F33," ")</f>
        <v>27</v>
      </c>
      <c r="K30" s="135">
        <f>IF('BIO-GEO'!F33&lt;51,'BIO-GEO'!F33," ")</f>
        <v>27</v>
      </c>
      <c r="L30" s="135">
        <f>IF(PSI!F33&lt;51,PSI!F33," ")</f>
        <v>28</v>
      </c>
      <c r="M30" s="135">
        <f>IF('REL.'!F33&lt;51,'REL.'!F33," ")</f>
        <v>26</v>
      </c>
      <c r="N30" s="230">
        <f t="shared" si="0"/>
        <v>11</v>
      </c>
      <c r="O30" s="134"/>
    </row>
    <row r="31" spans="1:15" ht="18" customHeight="1">
      <c r="A31" s="48">
        <f>NOMINA!A34</f>
        <v>29</v>
      </c>
      <c r="B31" s="197" t="str">
        <f>NOMINA!B34</f>
        <v xml:space="preserve">SILES MAMANI JUSTIN ANGEL </v>
      </c>
      <c r="C31" s="135">
        <f>IF(LEN!F34&lt;51,LEN!F34," ")</f>
        <v>18</v>
      </c>
      <c r="D31" s="135">
        <f>IF(ING!F34&lt;51,ING!F34," ")</f>
        <v>24</v>
      </c>
      <c r="E31" s="135">
        <f>IF('C.SOC'!F34&lt;51,'C.SOC'!F34," ")</f>
        <v>18</v>
      </c>
      <c r="F31" s="135">
        <f>IF('E. FIS.'!F34&lt;51,'E. FIS.'!F34," ")</f>
        <v>22</v>
      </c>
      <c r="G31" s="135">
        <f>IF(MUS.!F34&lt;51,MUS.!F34," ")</f>
        <v>23</v>
      </c>
      <c r="H31" s="135">
        <f>IF('A.PL. '!F34&lt;51,'A.PL. '!F34," ")</f>
        <v>20</v>
      </c>
      <c r="I31" s="135">
        <f>IF(MAT!F34&lt;51,MAT!F34," ")</f>
        <v>25</v>
      </c>
      <c r="J31" s="135">
        <f>IF('T. TEC. GRAL'!F34&lt;51,'T. TEC. GRAL'!F34," ")</f>
        <v>22</v>
      </c>
      <c r="K31" s="135">
        <f>IF('BIO-GEO'!F34&lt;51,'BIO-GEO'!F34," ")</f>
        <v>27</v>
      </c>
      <c r="L31" s="135">
        <f>IF(PSI!F34&lt;51,PSI!F34," ")</f>
        <v>23</v>
      </c>
      <c r="M31" s="135">
        <f>IF('REL.'!F34&lt;51,'REL.'!F34," ")</f>
        <v>21</v>
      </c>
      <c r="N31" s="230">
        <f t="shared" si="0"/>
        <v>11</v>
      </c>
      <c r="O31" s="134"/>
    </row>
    <row r="32" spans="1:15" ht="18" customHeight="1">
      <c r="A32" s="48">
        <f>NOMINA!A35</f>
        <v>30</v>
      </c>
      <c r="B32" s="197" t="str">
        <f>NOMINA!B35</f>
        <v>TERAN COCA DIEGO NICOLAS</v>
      </c>
      <c r="C32" s="135">
        <f>IF(LEN!F35&lt;51,LEN!F35," ")</f>
        <v>20</v>
      </c>
      <c r="D32" s="135">
        <f>IF(ING!F35&lt;51,ING!F35," ")</f>
        <v>22</v>
      </c>
      <c r="E32" s="135">
        <f>IF('C.SOC'!F35&lt;51,'C.SOC'!F35," ")</f>
        <v>17</v>
      </c>
      <c r="F32" s="135">
        <f>IF('E. FIS.'!F35&lt;51,'E. FIS.'!F35," ")</f>
        <v>22</v>
      </c>
      <c r="G32" s="135">
        <f>IF(MUS.!F35&lt;51,MUS.!F35," ")</f>
        <v>24</v>
      </c>
      <c r="H32" s="135">
        <f>IF('A.PL. '!F35&lt;51,'A.PL. '!F35," ")</f>
        <v>20</v>
      </c>
      <c r="I32" s="135">
        <f>IF(MAT!F35&lt;51,MAT!F35," ")</f>
        <v>24</v>
      </c>
      <c r="J32" s="135">
        <f>IF('T. TEC. GRAL'!F35&lt;51,'T. TEC. GRAL'!F35," ")</f>
        <v>19</v>
      </c>
      <c r="K32" s="135">
        <f>IF('BIO-GEO'!F35&lt;51,'BIO-GEO'!F35," ")</f>
        <v>23</v>
      </c>
      <c r="L32" s="135">
        <f>IF(PSI!F35&lt;51,PSI!F35," ")</f>
        <v>25</v>
      </c>
      <c r="M32" s="135">
        <f>IF('REL.'!F35&lt;51,'REL.'!F35," ")</f>
        <v>23</v>
      </c>
      <c r="N32" s="230">
        <f t="shared" si="0"/>
        <v>11</v>
      </c>
      <c r="O32" s="134"/>
    </row>
    <row r="33" spans="1:15" ht="18" customHeight="1">
      <c r="A33" s="48">
        <f>NOMINA!A36</f>
        <v>31</v>
      </c>
      <c r="B33" s="197" t="str">
        <f>NOMINA!B36</f>
        <v>URIA LOPEZ SEBASTIAN ARIEL</v>
      </c>
      <c r="C33" s="135">
        <f>IF(LEN!F36&lt;51,LEN!F36," ")</f>
        <v>17</v>
      </c>
      <c r="D33" s="135">
        <f>IF(ING!F36&lt;51,ING!F36," ")</f>
        <v>17</v>
      </c>
      <c r="E33" s="135">
        <f>IF('C.SOC'!F36&lt;51,'C.SOC'!F36," ")</f>
        <v>17</v>
      </c>
      <c r="F33" s="135">
        <f>IF('E. FIS.'!F36&lt;51,'E. FIS.'!F36," ")</f>
        <v>27</v>
      </c>
      <c r="G33" s="135">
        <f>IF(MUS.!F36&lt;51,MUS.!F36," ")</f>
        <v>24</v>
      </c>
      <c r="H33" s="135">
        <f>IF('A.PL. '!F36&lt;51,'A.PL. '!F36," ")</f>
        <v>22</v>
      </c>
      <c r="I33" s="135">
        <f>IF(MAT!F36&lt;51,MAT!F36," ")</f>
        <v>21</v>
      </c>
      <c r="J33" s="135">
        <f>IF('T. TEC. GRAL'!F36&lt;51,'T. TEC. GRAL'!F36," ")</f>
        <v>20</v>
      </c>
      <c r="K33" s="135">
        <f>IF('BIO-GEO'!F36&lt;51,'BIO-GEO'!F36," ")</f>
        <v>26</v>
      </c>
      <c r="L33" s="135">
        <f>IF(PSI!F36&lt;51,PSI!F36," ")</f>
        <v>25</v>
      </c>
      <c r="M33" s="135">
        <f>IF('REL.'!F36&lt;51,'REL.'!F36," ")</f>
        <v>21</v>
      </c>
      <c r="N33" s="230">
        <f t="shared" si="0"/>
        <v>11</v>
      </c>
      <c r="O33" s="134"/>
    </row>
    <row r="34" spans="1:15" ht="18" customHeight="1">
      <c r="A34" s="48">
        <f>NOMINA!A37</f>
        <v>32</v>
      </c>
      <c r="B34" s="197" t="str">
        <f>NOMINA!B37</f>
        <v>VASQUEZ ESPINOZA JHONATAN YAYCOB</v>
      </c>
      <c r="C34" s="135">
        <f>IF(LEN!F37&lt;51,LEN!F37," ")</f>
        <v>19</v>
      </c>
      <c r="D34" s="135">
        <f>IF(ING!F37&lt;51,ING!F37," ")</f>
        <v>17</v>
      </c>
      <c r="E34" s="135">
        <f>IF('C.SOC'!F37&lt;51,'C.SOC'!F37," ")</f>
        <v>20</v>
      </c>
      <c r="F34" s="135">
        <f>IF('E. FIS.'!F37&lt;51,'E. FIS.'!F37," ")</f>
        <v>23</v>
      </c>
      <c r="G34" s="135">
        <f>IF(MUS.!F37&lt;51,MUS.!F37," ")</f>
        <v>25</v>
      </c>
      <c r="H34" s="135">
        <f>IF('A.PL. '!F37&lt;51,'A.PL. '!F37," ")</f>
        <v>24</v>
      </c>
      <c r="I34" s="135">
        <f>IF(MAT!F37&lt;51,MAT!F37," ")</f>
        <v>23</v>
      </c>
      <c r="J34" s="135">
        <f>IF('T. TEC. GRAL'!F37&lt;51,'T. TEC. GRAL'!F37," ")</f>
        <v>26</v>
      </c>
      <c r="K34" s="135">
        <f>IF('BIO-GEO'!F37&lt;51,'BIO-GEO'!F37," ")</f>
        <v>21</v>
      </c>
      <c r="L34" s="135">
        <f>IF(PSI!F37&lt;51,PSI!F37," ")</f>
        <v>18</v>
      </c>
      <c r="M34" s="135">
        <f>IF('REL.'!F37&lt;51,'REL.'!F37," ")</f>
        <v>21</v>
      </c>
      <c r="N34" s="230">
        <f t="shared" si="0"/>
        <v>11</v>
      </c>
      <c r="O34" s="134"/>
    </row>
    <row r="35" spans="1:15" ht="18" customHeight="1">
      <c r="A35" s="48">
        <f>NOMINA!A38</f>
        <v>33</v>
      </c>
      <c r="B35" s="197" t="str">
        <f>NOMINA!B38</f>
        <v>VEIZAGA LEDEZMA SEBASTIAN</v>
      </c>
      <c r="C35" s="135">
        <f>IF(LEN!F38&lt;51,LEN!F38," ")</f>
        <v>22</v>
      </c>
      <c r="D35" s="135">
        <f>IF(ING!F38&lt;51,ING!F38," ")</f>
        <v>23</v>
      </c>
      <c r="E35" s="135">
        <f>IF('C.SOC'!F38&lt;51,'C.SOC'!F38," ")</f>
        <v>18</v>
      </c>
      <c r="F35" s="135">
        <f>IF('E. FIS.'!F38&lt;51,'E. FIS.'!F38," ")</f>
        <v>23</v>
      </c>
      <c r="G35" s="135">
        <f>IF(MUS.!F38&lt;51,MUS.!F38," ")</f>
        <v>29</v>
      </c>
      <c r="H35" s="135">
        <f>IF('A.PL. '!F38&lt;51,'A.PL. '!F38," ")</f>
        <v>20</v>
      </c>
      <c r="I35" s="135">
        <f>IF(MAT!F38&lt;51,MAT!F38," ")</f>
        <v>24</v>
      </c>
      <c r="J35" s="135">
        <f>IF('T. TEC. GRAL'!F38&lt;51,'T. TEC. GRAL'!F38," ")</f>
        <v>22</v>
      </c>
      <c r="K35" s="135">
        <f>IF('BIO-GEO'!F38&lt;51,'BIO-GEO'!F38," ")</f>
        <v>27</v>
      </c>
      <c r="L35" s="135">
        <f>IF(PSI!F38&lt;51,PSI!F38," ")</f>
        <v>26</v>
      </c>
      <c r="M35" s="135">
        <f>IF('REL.'!F38&lt;51,'REL.'!F38," ")</f>
        <v>22</v>
      </c>
      <c r="N35" s="230">
        <f t="shared" si="0"/>
        <v>11</v>
      </c>
      <c r="O35" s="134"/>
    </row>
    <row r="36" spans="1:15" ht="18" customHeight="1">
      <c r="A36" s="48">
        <f>NOMINA!A39</f>
        <v>34</v>
      </c>
      <c r="B36" s="197" t="str">
        <f>NOMINA!B39</f>
        <v>VILLARROEL CUCHILLO HUGO SEBASTIAN</v>
      </c>
      <c r="C36" s="135">
        <f>IF(LEN!F39&lt;51,LEN!F39," ")</f>
        <v>17</v>
      </c>
      <c r="D36" s="135">
        <f>IF(ING!F39&lt;51,ING!F39," ")</f>
        <v>18</v>
      </c>
      <c r="E36" s="135">
        <f>IF('C.SOC'!F39&lt;51,'C.SOC'!F39," ")</f>
        <v>18</v>
      </c>
      <c r="F36" s="135">
        <f>IF('E. FIS.'!F39&lt;51,'E. FIS.'!F39," ")</f>
        <v>22</v>
      </c>
      <c r="G36" s="135">
        <f>IF(MUS.!F39&lt;51,MUS.!F39," ")</f>
        <v>21</v>
      </c>
      <c r="H36" s="135">
        <f>IF('A.PL. '!F39&lt;51,'A.PL. '!F39," ")</f>
        <v>20</v>
      </c>
      <c r="I36" s="135">
        <f>IF(MAT!F39&lt;51,MAT!F39," ")</f>
        <v>16</v>
      </c>
      <c r="J36" s="135">
        <f>IF('T. TEC. GRAL'!F39&lt;51,'T. TEC. GRAL'!F39," ")</f>
        <v>18</v>
      </c>
      <c r="K36" s="135">
        <f>IF('BIO-GEO'!F39&lt;51,'BIO-GEO'!F39," ")</f>
        <v>18</v>
      </c>
      <c r="L36" s="135">
        <f>IF(PSI!F39&lt;51,PSI!F39," ")</f>
        <v>16</v>
      </c>
      <c r="M36" s="135">
        <f>IF('REL.'!F39&lt;51,'REL.'!F39," ")</f>
        <v>20</v>
      </c>
      <c r="N36" s="230">
        <f t="shared" si="0"/>
        <v>11</v>
      </c>
      <c r="O36" s="134"/>
    </row>
    <row r="37" spans="1:15" ht="18" customHeight="1">
      <c r="A37" s="48">
        <f>NOMINA!A40</f>
        <v>35</v>
      </c>
      <c r="B37" s="197" t="str">
        <f>NOMINA!B40</f>
        <v>ZAMBRANA MENDEZ MIRCO ALEXANDER</v>
      </c>
      <c r="C37" s="135">
        <f>IF(LEN!F40&lt;51,LEN!F40," ")</f>
        <v>15</v>
      </c>
      <c r="D37" s="135">
        <f>IF(ING!F40&lt;51,ING!F40," ")</f>
        <v>14</v>
      </c>
      <c r="E37" s="135">
        <f>IF('C.SOC'!F40&lt;51,'C.SOC'!F40," ")</f>
        <v>18</v>
      </c>
      <c r="F37" s="135">
        <f>IF('E. FIS.'!F40&lt;51,'E. FIS.'!F40," ")</f>
        <v>17</v>
      </c>
      <c r="G37" s="135">
        <f>IF(MUS.!F40&lt;51,MUS.!F40," ")</f>
        <v>19</v>
      </c>
      <c r="H37" s="135">
        <f>IF('A.PL. '!F40&lt;51,'A.PL. '!F40," ")</f>
        <v>23</v>
      </c>
      <c r="I37" s="135">
        <f>IF(MAT!F40&lt;51,MAT!F40," ")</f>
        <v>16</v>
      </c>
      <c r="J37" s="135">
        <f>IF('T. TEC. GRAL'!F40&lt;51,'T. TEC. GRAL'!F40," ")</f>
        <v>14</v>
      </c>
      <c r="K37" s="135">
        <f>IF('BIO-GEO'!F40&lt;51,'BIO-GEO'!F40," ")</f>
        <v>20</v>
      </c>
      <c r="L37" s="135">
        <f>IF(PSI!F40&lt;51,PSI!F40," ")</f>
        <v>23</v>
      </c>
      <c r="M37" s="135">
        <f>IF('REL.'!F40&lt;51,'REL.'!F40," ")</f>
        <v>17</v>
      </c>
      <c r="N37" s="230">
        <f t="shared" si="0"/>
        <v>11</v>
      </c>
      <c r="O37" s="134"/>
    </row>
    <row r="38" spans="1:15" ht="18" customHeight="1">
      <c r="A38" s="48">
        <f>NOMINA!A41</f>
        <v>36</v>
      </c>
      <c r="B38" s="197">
        <f>NOMINA!B41</f>
        <v>0</v>
      </c>
      <c r="C38" s="135" t="str">
        <f>IF(LEN!F41&lt;51,LEN!F41," ")</f>
        <v xml:space="preserve"> </v>
      </c>
      <c r="D38" s="135" t="str">
        <f>IF(ING!F41&lt;51,ING!F41," ")</f>
        <v xml:space="preserve"> </v>
      </c>
      <c r="E38" s="135" t="str">
        <f>IF('C.SOC'!F41&lt;51,'C.SOC'!F41," ")</f>
        <v xml:space="preserve"> </v>
      </c>
      <c r="F38" s="135" t="str">
        <f>IF('E. FIS.'!F41&lt;51,'E. FIS.'!F41," ")</f>
        <v xml:space="preserve"> </v>
      </c>
      <c r="G38" s="135" t="str">
        <f>IF(MUS.!F41&lt;51,MUS.!F41," ")</f>
        <v xml:space="preserve"> </v>
      </c>
      <c r="H38" s="135" t="str">
        <f>IF('A.PL. '!F41&lt;51,'A.PL. '!F41," ")</f>
        <v xml:space="preserve"> </v>
      </c>
      <c r="I38" s="135" t="str">
        <f>IF(MAT!F41&lt;51,MAT!F41," ")</f>
        <v xml:space="preserve"> </v>
      </c>
      <c r="J38" s="135" t="str">
        <f>IF('T. TEC. GRAL'!F41&lt;51,'T. TEC. GRAL'!F41," ")</f>
        <v xml:space="preserve"> </v>
      </c>
      <c r="K38" s="135" t="str">
        <f>IF('BIO-GEO'!F41&lt;51,'BIO-GEO'!F41," ")</f>
        <v xml:space="preserve"> </v>
      </c>
      <c r="L38" s="135" t="str">
        <f>IF(PSI!F41&lt;51,PSI!F41," ")</f>
        <v xml:space="preserve"> </v>
      </c>
      <c r="M38" s="135" t="str">
        <f>IF('REL.'!F41&lt;51,'REL.'!F41," ")</f>
        <v xml:space="preserve"> </v>
      </c>
      <c r="N38" s="230" t="str">
        <f t="shared" si="0"/>
        <v xml:space="preserve"> </v>
      </c>
      <c r="O38" s="134"/>
    </row>
    <row r="39" spans="1:15" ht="18" customHeight="1">
      <c r="A39" s="48">
        <f>NOMINA!A42</f>
        <v>37</v>
      </c>
      <c r="B39" s="197">
        <f>NOMINA!B42</f>
        <v>0</v>
      </c>
      <c r="C39" s="135" t="str">
        <f>IF(LEN!F42&lt;51,LEN!F42," ")</f>
        <v xml:space="preserve"> </v>
      </c>
      <c r="D39" s="135" t="str">
        <f>IF(ING!F42&lt;51,ING!F42," ")</f>
        <v xml:space="preserve"> </v>
      </c>
      <c r="E39" s="135" t="str">
        <f>IF('C.SOC'!F42&lt;51,'C.SOC'!F42," ")</f>
        <v xml:space="preserve"> </v>
      </c>
      <c r="F39" s="135" t="str">
        <f>IF('E. FIS.'!F42&lt;51,'E. FIS.'!F42," ")</f>
        <v xml:space="preserve"> </v>
      </c>
      <c r="G39" s="135" t="str">
        <f>IF(MUS.!F42&lt;51,MUS.!F42," ")</f>
        <v xml:space="preserve"> </v>
      </c>
      <c r="H39" s="135" t="str">
        <f>IF('A.PL. '!F42&lt;51,'A.PL. '!F42," ")</f>
        <v xml:space="preserve"> </v>
      </c>
      <c r="I39" s="135" t="str">
        <f>IF(MAT!F42&lt;51,MAT!F42," ")</f>
        <v xml:space="preserve"> </v>
      </c>
      <c r="J39" s="135" t="str">
        <f>IF('T. TEC. GRAL'!F42&lt;51,'T. TEC. GRAL'!F42," ")</f>
        <v xml:space="preserve"> </v>
      </c>
      <c r="K39" s="135" t="str">
        <f>IF('BIO-GEO'!F42&lt;51,'BIO-GEO'!F42," ")</f>
        <v xml:space="preserve"> </v>
      </c>
      <c r="L39" s="135" t="str">
        <f>IF(PSI!F42&lt;51,PSI!F42," ")</f>
        <v xml:space="preserve"> </v>
      </c>
      <c r="M39" s="135" t="str">
        <f>IF('REL.'!F42&lt;51,'REL.'!F42," ")</f>
        <v xml:space="preserve"> </v>
      </c>
      <c r="N39" s="230" t="str">
        <f t="shared" si="0"/>
        <v xml:space="preserve"> </v>
      </c>
      <c r="O39" s="134"/>
    </row>
    <row r="40" spans="1:15" ht="18" customHeight="1">
      <c r="A40" s="48">
        <f>NOMINA!A43</f>
        <v>38</v>
      </c>
      <c r="B40" s="197">
        <f>NOMINA!B43</f>
        <v>0</v>
      </c>
      <c r="C40" s="135" t="str">
        <f>IF(LEN!F43&lt;51,LEN!F43," ")</f>
        <v xml:space="preserve"> </v>
      </c>
      <c r="D40" s="135" t="str">
        <f>IF(ING!F43&lt;51,ING!F43," ")</f>
        <v xml:space="preserve"> </v>
      </c>
      <c r="E40" s="135" t="str">
        <f>IF('C.SOC'!F43&lt;51,'C.SOC'!F43," ")</f>
        <v xml:space="preserve"> </v>
      </c>
      <c r="F40" s="135" t="str">
        <f>IF('E. FIS.'!F43&lt;51,'E. FIS.'!F43," ")</f>
        <v xml:space="preserve"> </v>
      </c>
      <c r="G40" s="135" t="str">
        <f>IF(MUS.!F43&lt;51,MUS.!F43," ")</f>
        <v xml:space="preserve"> </v>
      </c>
      <c r="H40" s="135" t="str">
        <f>IF('A.PL. '!F43&lt;51,'A.PL. '!F43," ")</f>
        <v xml:space="preserve"> </v>
      </c>
      <c r="I40" s="135" t="str">
        <f>IF(MAT!F43&lt;51,MAT!F43," ")</f>
        <v xml:space="preserve"> </v>
      </c>
      <c r="J40" s="135" t="str">
        <f>IF('T. TEC. GRAL'!F43&lt;51,'T. TEC. GRAL'!F43," ")</f>
        <v xml:space="preserve"> </v>
      </c>
      <c r="K40" s="135" t="str">
        <f>IF('BIO-GEO'!F43&lt;51,'BIO-GEO'!F43," ")</f>
        <v xml:space="preserve"> </v>
      </c>
      <c r="L40" s="135" t="str">
        <f>IF(PSI!F43&lt;51,PSI!F43," ")</f>
        <v xml:space="preserve"> </v>
      </c>
      <c r="M40" s="135" t="str">
        <f>IF('REL.'!F43&lt;51,'REL.'!F43," ")</f>
        <v xml:space="preserve"> </v>
      </c>
      <c r="N40" s="230" t="str">
        <f t="shared" si="0"/>
        <v xml:space="preserve"> </v>
      </c>
      <c r="O40" s="134"/>
    </row>
    <row r="41" spans="1:15" ht="18" customHeight="1">
      <c r="A41" s="48">
        <f>NOMINA!A44</f>
        <v>39</v>
      </c>
      <c r="B41" s="197">
        <f>NOMINA!B44</f>
        <v>0</v>
      </c>
      <c r="C41" s="135" t="str">
        <f>IF(LEN!F44&lt;51,LEN!F44," ")</f>
        <v xml:space="preserve"> </v>
      </c>
      <c r="D41" s="135" t="str">
        <f>IF(ING!F44&lt;51,ING!F44," ")</f>
        <v xml:space="preserve"> </v>
      </c>
      <c r="E41" s="135" t="str">
        <f>IF('C.SOC'!F44&lt;51,'C.SOC'!F44," ")</f>
        <v xml:space="preserve"> </v>
      </c>
      <c r="F41" s="135" t="str">
        <f>IF('E. FIS.'!F44&lt;51,'E. FIS.'!F44," ")</f>
        <v xml:space="preserve"> </v>
      </c>
      <c r="G41" s="135" t="str">
        <f>IF(MUS.!F44&lt;51,MUS.!F44," ")</f>
        <v xml:space="preserve"> </v>
      </c>
      <c r="H41" s="135" t="str">
        <f>IF('A.PL. '!F44&lt;51,'A.PL. '!F44," ")</f>
        <v xml:space="preserve"> </v>
      </c>
      <c r="I41" s="135" t="str">
        <f>IF(MAT!F44&lt;51,MAT!F44," ")</f>
        <v xml:space="preserve"> </v>
      </c>
      <c r="J41" s="135" t="str">
        <f>IF('T. TEC. GRAL'!F44&lt;51,'T. TEC. GRAL'!F44," ")</f>
        <v xml:space="preserve"> </v>
      </c>
      <c r="K41" s="135" t="str">
        <f>IF('BIO-GEO'!F44&lt;51,'BIO-GEO'!F44," ")</f>
        <v xml:space="preserve"> </v>
      </c>
      <c r="L41" s="135" t="str">
        <f>IF(PSI!F44&lt;51,PSI!F44," ")</f>
        <v xml:space="preserve"> </v>
      </c>
      <c r="M41" s="135" t="str">
        <f>IF('REL.'!F44&lt;51,'REL.'!F44," ")</f>
        <v xml:space="preserve"> </v>
      </c>
      <c r="N41" s="230" t="str">
        <f t="shared" si="0"/>
        <v xml:space="preserve"> </v>
      </c>
      <c r="O41" s="134"/>
    </row>
    <row r="42" spans="1:15" ht="18" customHeight="1">
      <c r="A42" s="48">
        <f>NOMINA!A45</f>
        <v>40</v>
      </c>
      <c r="B42" s="197">
        <f>NOMINA!B45</f>
        <v>0</v>
      </c>
      <c r="C42" s="135" t="str">
        <f>IF(LEN!F45&lt;51,LEN!F45," ")</f>
        <v xml:space="preserve"> </v>
      </c>
      <c r="D42" s="135" t="str">
        <f>IF(ING!F45&lt;51,ING!F45," ")</f>
        <v xml:space="preserve"> </v>
      </c>
      <c r="E42" s="135" t="str">
        <f>IF('C.SOC'!F45&lt;51,'C.SOC'!F45," ")</f>
        <v xml:space="preserve"> </v>
      </c>
      <c r="F42" s="135" t="str">
        <f>IF('E. FIS.'!F45&lt;51,'E. FIS.'!F45," ")</f>
        <v xml:space="preserve"> </v>
      </c>
      <c r="G42" s="135" t="str">
        <f>IF(MUS.!F45&lt;51,MUS.!F45," ")</f>
        <v xml:space="preserve"> </v>
      </c>
      <c r="H42" s="135" t="str">
        <f>IF('A.PL. '!F45&lt;51,'A.PL. '!F45," ")</f>
        <v xml:space="preserve"> </v>
      </c>
      <c r="I42" s="135" t="str">
        <f>IF(MAT!F45&lt;51,MAT!F45," ")</f>
        <v xml:space="preserve"> </v>
      </c>
      <c r="J42" s="135" t="str">
        <f>IF('T. TEC. GRAL'!F45&lt;51,'T. TEC. GRAL'!F45," ")</f>
        <v xml:space="preserve"> </v>
      </c>
      <c r="K42" s="135" t="str">
        <f>IF('BIO-GEO'!F45&lt;51,'BIO-GEO'!F45," ")</f>
        <v xml:space="preserve"> </v>
      </c>
      <c r="L42" s="135" t="str">
        <f>IF(PSI!F45&lt;51,PSI!F45," ")</f>
        <v xml:space="preserve"> </v>
      </c>
      <c r="M42" s="135" t="str">
        <f>IF('REL.'!F45&lt;51,'REL.'!F45," ")</f>
        <v xml:space="preserve"> </v>
      </c>
      <c r="N42" s="230" t="str">
        <f t="shared" si="0"/>
        <v xml:space="preserve"> </v>
      </c>
      <c r="O42" s="134"/>
    </row>
    <row r="43" spans="1:15" ht="18.75">
      <c r="A43" s="48">
        <f>NOMINA!A46</f>
        <v>41</v>
      </c>
      <c r="B43" s="197">
        <f>NOMINA!B46</f>
        <v>0</v>
      </c>
      <c r="C43" s="135" t="str">
        <f>IF(LEN!F46&lt;51,LEN!F46," ")</f>
        <v xml:space="preserve"> </v>
      </c>
      <c r="D43" s="135" t="str">
        <f>IF(ING!F46&lt;51,ING!F46," ")</f>
        <v xml:space="preserve"> </v>
      </c>
      <c r="E43" s="135" t="str">
        <f>IF('C.SOC'!F46&lt;51,'C.SOC'!F46," ")</f>
        <v xml:space="preserve"> </v>
      </c>
      <c r="F43" s="135" t="str">
        <f>IF('E. FIS.'!F46&lt;51,'E. FIS.'!F46," ")</f>
        <v xml:space="preserve"> </v>
      </c>
      <c r="G43" s="135" t="str">
        <f>IF(MUS.!F46&lt;51,MUS.!F46," ")</f>
        <v xml:space="preserve"> </v>
      </c>
      <c r="H43" s="135" t="str">
        <f>IF('A.PL. '!F46&lt;51,'A.PL. '!F46," ")</f>
        <v xml:space="preserve"> </v>
      </c>
      <c r="I43" s="135" t="str">
        <f>IF(MAT!F46&lt;51,MAT!F46," ")</f>
        <v xml:space="preserve"> </v>
      </c>
      <c r="J43" s="135" t="str">
        <f>IF('T. TEC. GRAL'!F46&lt;51,'T. TEC. GRAL'!F46," ")</f>
        <v xml:space="preserve"> </v>
      </c>
      <c r="K43" s="135" t="str">
        <f>IF('BIO-GEO'!F46&lt;51,'BIO-GEO'!F46," ")</f>
        <v xml:space="preserve"> </v>
      </c>
      <c r="L43" s="135" t="str">
        <f>IF(PSI!F46&lt;51,PSI!F46," ")</f>
        <v xml:space="preserve"> </v>
      </c>
      <c r="M43" s="135" t="str">
        <f>IF('REL.'!F46&lt;51,'REL.'!F46," ")</f>
        <v xml:space="preserve"> </v>
      </c>
      <c r="N43" s="230" t="str">
        <f t="shared" si="0"/>
        <v xml:space="preserve"> </v>
      </c>
      <c r="O43" s="134"/>
    </row>
    <row r="44" spans="1:15" ht="15.75" thickBot="1"/>
    <row r="45" spans="1:15" ht="19.5" customHeight="1" thickBot="1">
      <c r="A45" s="18"/>
      <c r="B45" s="123" t="s">
        <v>74</v>
      </c>
      <c r="C45" s="124">
        <f>COUNT(C3:C43)</f>
        <v>35</v>
      </c>
      <c r="D45" s="124">
        <f t="shared" ref="D45:M45" si="1">COUNT(D3:D43)</f>
        <v>35</v>
      </c>
      <c r="E45" s="124">
        <f t="shared" si="1"/>
        <v>35</v>
      </c>
      <c r="F45" s="124">
        <f t="shared" si="1"/>
        <v>35</v>
      </c>
      <c r="G45" s="124">
        <f t="shared" si="1"/>
        <v>35</v>
      </c>
      <c r="H45" s="124">
        <f t="shared" si="1"/>
        <v>35</v>
      </c>
      <c r="I45" s="124">
        <f t="shared" si="1"/>
        <v>35</v>
      </c>
      <c r="J45" s="124">
        <f t="shared" si="1"/>
        <v>35</v>
      </c>
      <c r="K45" s="124">
        <f t="shared" si="1"/>
        <v>35</v>
      </c>
      <c r="L45" s="124">
        <f t="shared" si="1"/>
        <v>35</v>
      </c>
      <c r="M45" s="124">
        <f t="shared" si="1"/>
        <v>35</v>
      </c>
      <c r="N45" s="161">
        <f>SUM(N3:N43)</f>
        <v>385</v>
      </c>
    </row>
    <row r="46" spans="1:15" ht="22.5" customHeight="1" thickBot="1">
      <c r="B46" s="125" t="s">
        <v>28</v>
      </c>
      <c r="C46" s="126">
        <f>'GRAL. (2)'!$F$51</f>
        <v>100</v>
      </c>
      <c r="D46" s="126">
        <f>'GRAL. (2)'!$J$51</f>
        <v>100</v>
      </c>
      <c r="E46" s="126">
        <f>'GRAL. (2)'!$N$51</f>
        <v>100</v>
      </c>
      <c r="F46" s="126">
        <f>'GRAL. (2)'!$R$51</f>
        <v>100</v>
      </c>
      <c r="G46" s="126">
        <f>'GRAL. (2)'!$V$51</f>
        <v>100</v>
      </c>
      <c r="H46" s="126">
        <f>'GRAL. (2)'!$Z$51</f>
        <v>100</v>
      </c>
      <c r="I46" s="126">
        <f>'GRAL. (2)'!$AD$51</f>
        <v>100</v>
      </c>
      <c r="J46" s="126">
        <f>'GRAL. (2)'!$AH$51</f>
        <v>100</v>
      </c>
      <c r="K46" s="126">
        <f>'GRAL. (2)'!$AL$51</f>
        <v>100</v>
      </c>
      <c r="L46" s="126">
        <f>'GRAL. (2)'!$AP$51</f>
        <v>100</v>
      </c>
      <c r="M46" s="126">
        <f>'GRAL. (2)'!$AT$51</f>
        <v>100</v>
      </c>
      <c r="N46" s="160">
        <f>AVERAGE(C46:M46)</f>
        <v>100</v>
      </c>
    </row>
  </sheetData>
  <mergeCells count="15">
    <mergeCell ref="B1:B2"/>
    <mergeCell ref="P5:Q5"/>
    <mergeCell ref="H1:H2"/>
    <mergeCell ref="C1:C2"/>
    <mergeCell ref="D1:D2"/>
    <mergeCell ref="E1:E2"/>
    <mergeCell ref="F1:F2"/>
    <mergeCell ref="G1:G2"/>
    <mergeCell ref="N1:N2"/>
    <mergeCell ref="I1:I2"/>
    <mergeCell ref="J1:J2"/>
    <mergeCell ref="K1:K2"/>
    <mergeCell ref="L1:L2"/>
    <mergeCell ref="M1:M2"/>
    <mergeCell ref="O1:O2"/>
  </mergeCells>
  <pageMargins left="0.22" right="0.21" top="0.46" bottom="0.28000000000000003" header="0.5" footer="0.16"/>
  <pageSetup orientation="portrait" horizontalDpi="4294967293"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20"/>
  <dimension ref="A1:AD108"/>
  <sheetViews>
    <sheetView zoomScale="80" zoomScaleNormal="80" workbookViewId="0">
      <selection activeCell="D8" sqref="D8"/>
    </sheetView>
  </sheetViews>
  <sheetFormatPr defaultColWidth="11.42578125" defaultRowHeight="15"/>
  <cols>
    <col min="1" max="1" width="3.7109375" customWidth="1"/>
    <col min="2" max="2" width="4.85546875" customWidth="1"/>
    <col min="3" max="3" width="8.5703125" customWidth="1"/>
    <col min="4" max="4" width="6.140625" customWidth="1"/>
    <col min="5" max="5" width="6.7109375" customWidth="1"/>
    <col min="6" max="6" width="4.28515625" customWidth="1"/>
    <col min="7" max="16" width="6.7109375" customWidth="1"/>
    <col min="21" max="21" width="6.42578125" customWidth="1"/>
    <col min="22" max="22" width="4.28515625" customWidth="1"/>
    <col min="23" max="23" width="8.5703125" customWidth="1"/>
    <col min="24" max="25" width="8.7109375" customWidth="1"/>
  </cols>
  <sheetData>
    <row r="1" spans="1:30">
      <c r="A1" s="18"/>
      <c r="B1" s="18"/>
      <c r="C1" s="18"/>
      <c r="D1" s="18"/>
      <c r="E1" s="18"/>
      <c r="F1" s="18"/>
      <c r="G1" s="18"/>
      <c r="H1" s="18"/>
      <c r="I1" s="18"/>
      <c r="J1" s="18"/>
      <c r="K1" s="18"/>
      <c r="L1" s="18"/>
      <c r="M1" s="18"/>
      <c r="N1" s="18"/>
      <c r="O1" s="18"/>
      <c r="P1" s="18"/>
      <c r="Q1" s="18"/>
      <c r="R1" s="18"/>
      <c r="S1" s="18"/>
      <c r="T1" s="18"/>
      <c r="U1" s="18"/>
      <c r="V1" s="18"/>
      <c r="W1" s="18"/>
      <c r="X1" s="18"/>
      <c r="Y1" s="18"/>
    </row>
    <row r="2" spans="1:30" ht="22.5" customHeight="1">
      <c r="A2" s="18"/>
      <c r="B2" s="18"/>
      <c r="C2" s="18"/>
      <c r="D2" s="18"/>
      <c r="E2" s="18"/>
      <c r="F2" s="18"/>
      <c r="G2" s="18"/>
      <c r="H2" s="358" t="s">
        <v>26</v>
      </c>
      <c r="I2" s="358"/>
      <c r="J2" s="358"/>
      <c r="K2" s="358"/>
      <c r="L2" s="358"/>
      <c r="M2" s="358"/>
      <c r="N2" s="358"/>
      <c r="O2" s="358"/>
      <c r="P2" s="62"/>
      <c r="Q2" s="357" t="str">
        <f>NOMINA!$B$2</f>
        <v>CURSO 2A</v>
      </c>
      <c r="R2" s="357"/>
      <c r="S2" s="357"/>
      <c r="T2" s="360" t="s">
        <v>93</v>
      </c>
      <c r="U2" s="360"/>
      <c r="V2" s="360"/>
      <c r="W2" s="360"/>
      <c r="X2" s="18"/>
      <c r="Y2" s="18"/>
      <c r="Z2" s="18"/>
      <c r="AA2" s="356"/>
      <c r="AB2" s="356"/>
      <c r="AC2" s="356"/>
      <c r="AD2" s="63"/>
    </row>
    <row r="3" spans="1:30" ht="15.75" thickBot="1">
      <c r="A3" s="18"/>
      <c r="B3" s="18"/>
      <c r="C3" s="118" t="s">
        <v>71</v>
      </c>
      <c r="D3" s="18"/>
      <c r="E3" s="18"/>
      <c r="F3" s="18"/>
      <c r="G3" s="18"/>
      <c r="H3" s="18"/>
      <c r="I3" s="18"/>
      <c r="J3" s="18"/>
      <c r="K3" s="18"/>
      <c r="L3" s="18"/>
      <c r="M3" s="18"/>
      <c r="N3" s="18"/>
      <c r="O3" s="18"/>
      <c r="P3" s="18"/>
      <c r="Q3" s="18"/>
      <c r="R3" s="18"/>
      <c r="S3" s="18"/>
      <c r="T3" s="18"/>
      <c r="U3" s="18"/>
      <c r="V3" s="18"/>
      <c r="W3" s="18"/>
      <c r="X3" s="118" t="s">
        <v>72</v>
      </c>
      <c r="Y3" s="18"/>
    </row>
    <row r="4" spans="1:30" ht="15.75" thickBot="1">
      <c r="A4" s="18"/>
      <c r="B4" s="64"/>
      <c r="C4" s="65"/>
      <c r="D4" s="66" t="s">
        <v>25</v>
      </c>
      <c r="E4" s="67" t="s">
        <v>24</v>
      </c>
      <c r="F4" s="18"/>
      <c r="G4" s="18"/>
      <c r="H4" s="18"/>
      <c r="I4" s="18"/>
      <c r="J4" s="18"/>
      <c r="K4" s="18"/>
      <c r="L4" s="18"/>
      <c r="M4" s="18"/>
      <c r="N4" s="18"/>
      <c r="O4" s="18"/>
      <c r="P4" s="18"/>
      <c r="Q4" s="18"/>
      <c r="R4" s="18"/>
      <c r="S4" s="18"/>
      <c r="T4" s="18"/>
      <c r="U4" s="18"/>
      <c r="V4" s="18"/>
      <c r="W4" s="107"/>
      <c r="X4" s="80"/>
      <c r="Y4" s="110" t="s">
        <v>25</v>
      </c>
      <c r="Z4" s="67" t="s">
        <v>24</v>
      </c>
    </row>
    <row r="5" spans="1:30">
      <c r="A5" s="18"/>
      <c r="B5" s="69">
        <v>1</v>
      </c>
      <c r="C5" s="70" t="s">
        <v>15</v>
      </c>
      <c r="D5" s="71">
        <f>GRAL.!$C$52</f>
        <v>28.571428571428569</v>
      </c>
      <c r="E5" s="72">
        <f>GRAL.!$C$51</f>
        <v>71.428571428571431</v>
      </c>
      <c r="F5" s="18"/>
      <c r="G5" s="73"/>
      <c r="H5" s="18"/>
      <c r="I5" s="18"/>
      <c r="J5" s="18"/>
      <c r="K5" s="18"/>
      <c r="L5" s="18"/>
      <c r="M5" s="18"/>
      <c r="N5" s="18"/>
      <c r="O5" s="18"/>
      <c r="P5" s="18"/>
      <c r="Q5" s="18"/>
      <c r="R5" s="18"/>
      <c r="S5" s="18"/>
      <c r="T5" s="18"/>
      <c r="U5" s="18"/>
      <c r="V5" s="63"/>
      <c r="W5" s="73"/>
      <c r="X5" s="113" t="s">
        <v>15</v>
      </c>
      <c r="Y5" s="111">
        <f>GRAL.!$C$48</f>
        <v>10</v>
      </c>
      <c r="Z5" s="71">
        <f>GRAL.!$C$47</f>
        <v>25</v>
      </c>
    </row>
    <row r="6" spans="1:30">
      <c r="A6" s="18"/>
      <c r="B6" s="69">
        <v>2</v>
      </c>
      <c r="C6" s="74" t="s">
        <v>16</v>
      </c>
      <c r="D6" s="75">
        <f>GRAL.!$F$52</f>
        <v>22.857142857142847</v>
      </c>
      <c r="E6" s="76">
        <f>GRAL.!$F$51</f>
        <v>77.142857142857153</v>
      </c>
      <c r="F6" s="18"/>
      <c r="G6" s="73"/>
      <c r="H6" s="18"/>
      <c r="I6" s="18"/>
      <c r="J6" s="18"/>
      <c r="K6" s="18"/>
      <c r="L6" s="18"/>
      <c r="M6" s="18"/>
      <c r="N6" s="18"/>
      <c r="O6" s="18"/>
      <c r="P6" s="18"/>
      <c r="Q6" s="18"/>
      <c r="R6" s="18"/>
      <c r="S6" s="18"/>
      <c r="T6" s="18"/>
      <c r="U6" s="18"/>
      <c r="V6" s="63"/>
      <c r="W6" s="73"/>
      <c r="X6" s="114" t="s">
        <v>16</v>
      </c>
      <c r="Y6" s="112">
        <f>GRAL.!$F$48</f>
        <v>8</v>
      </c>
      <c r="Z6" s="75">
        <f>GRAL.!$F$47</f>
        <v>27</v>
      </c>
    </row>
    <row r="7" spans="1:30">
      <c r="A7" s="18"/>
      <c r="B7" s="69">
        <v>3</v>
      </c>
      <c r="C7" s="74" t="s">
        <v>68</v>
      </c>
      <c r="D7" s="75">
        <f>GRAL.!$I$52</f>
        <v>28.571428571428569</v>
      </c>
      <c r="E7" s="76">
        <f>GRAL.!$I$51</f>
        <v>71.428571428571431</v>
      </c>
      <c r="F7" s="18"/>
      <c r="G7" s="73"/>
      <c r="H7" s="18"/>
      <c r="I7" s="18"/>
      <c r="J7" s="18"/>
      <c r="K7" s="18"/>
      <c r="L7" s="18"/>
      <c r="M7" s="18"/>
      <c r="N7" s="18"/>
      <c r="O7" s="18"/>
      <c r="P7" s="18"/>
      <c r="Q7" s="18"/>
      <c r="R7" s="18"/>
      <c r="S7" s="18"/>
      <c r="T7" s="18"/>
      <c r="U7" s="18"/>
      <c r="V7" s="63"/>
      <c r="W7" s="73"/>
      <c r="X7" s="114" t="s">
        <v>68</v>
      </c>
      <c r="Y7" s="112">
        <f>GRAL.!$I$48</f>
        <v>10</v>
      </c>
      <c r="Z7" s="75">
        <f>GRAL.!I$47</f>
        <v>25</v>
      </c>
    </row>
    <row r="8" spans="1:30">
      <c r="A8" s="18"/>
      <c r="B8" s="69">
        <v>4</v>
      </c>
      <c r="C8" s="74" t="s">
        <v>17</v>
      </c>
      <c r="D8" s="75">
        <f>GRAL.!$L$52</f>
        <v>5.7142857142857224</v>
      </c>
      <c r="E8" s="76">
        <f>GRAL.!$L$51</f>
        <v>94.285714285714278</v>
      </c>
      <c r="F8" s="18"/>
      <c r="G8" s="73"/>
      <c r="H8" s="18"/>
      <c r="I8" s="18"/>
      <c r="J8" s="18"/>
      <c r="K8" s="18"/>
      <c r="L8" s="18"/>
      <c r="M8" s="18"/>
      <c r="N8" s="18"/>
      <c r="O8" s="18"/>
      <c r="P8" s="18"/>
      <c r="Q8" s="18"/>
      <c r="R8" s="18"/>
      <c r="S8" s="18"/>
      <c r="T8" s="18"/>
      <c r="U8" s="18"/>
      <c r="V8" s="63"/>
      <c r="W8" s="73"/>
      <c r="X8" s="114" t="s">
        <v>17</v>
      </c>
      <c r="Y8" s="112">
        <f>GRAL.!$L$48</f>
        <v>2</v>
      </c>
      <c r="Z8" s="75">
        <f>GRAL.!$L$47</f>
        <v>33</v>
      </c>
    </row>
    <row r="9" spans="1:30">
      <c r="A9" s="18"/>
      <c r="B9" s="69">
        <v>5</v>
      </c>
      <c r="C9" s="74" t="s">
        <v>18</v>
      </c>
      <c r="D9" s="75">
        <f>GRAL.!$O$52</f>
        <v>11.428571428571431</v>
      </c>
      <c r="E9" s="76">
        <f>GRAL.!$O$51</f>
        <v>88.571428571428569</v>
      </c>
      <c r="F9" s="18"/>
      <c r="G9" s="73"/>
      <c r="H9" s="18"/>
      <c r="I9" s="18"/>
      <c r="J9" s="18"/>
      <c r="K9" s="18"/>
      <c r="L9" s="18"/>
      <c r="M9" s="18"/>
      <c r="N9" s="18"/>
      <c r="O9" s="18"/>
      <c r="P9" s="18"/>
      <c r="Q9" s="18"/>
      <c r="R9" s="18"/>
      <c r="S9" s="18"/>
      <c r="T9" s="18"/>
      <c r="U9" s="18"/>
      <c r="V9" s="63"/>
      <c r="W9" s="73"/>
      <c r="X9" s="114" t="s">
        <v>18</v>
      </c>
      <c r="Y9" s="112">
        <f>GRAL.!$O$48</f>
        <v>4</v>
      </c>
      <c r="Z9" s="75">
        <f>GRAL.!$O$47</f>
        <v>31</v>
      </c>
    </row>
    <row r="10" spans="1:30">
      <c r="A10" s="18"/>
      <c r="B10" s="69">
        <v>6</v>
      </c>
      <c r="C10" s="74" t="s">
        <v>40</v>
      </c>
      <c r="D10" s="75">
        <f>GRAL.!$R$52</f>
        <v>0</v>
      </c>
      <c r="E10" s="76">
        <f>GRAL.!$R$51</f>
        <v>100</v>
      </c>
      <c r="F10" s="18"/>
      <c r="G10" s="73"/>
      <c r="H10" s="18"/>
      <c r="I10" s="18"/>
      <c r="J10" s="18"/>
      <c r="K10" s="18"/>
      <c r="L10" s="18"/>
      <c r="M10" s="18"/>
      <c r="N10" s="18"/>
      <c r="O10" s="18"/>
      <c r="P10" s="18"/>
      <c r="Q10" s="18"/>
      <c r="R10" s="18"/>
      <c r="S10" s="18"/>
      <c r="T10" s="18"/>
      <c r="U10" s="18"/>
      <c r="V10" s="63"/>
      <c r="W10" s="73"/>
      <c r="X10" s="114" t="s">
        <v>40</v>
      </c>
      <c r="Y10" s="112">
        <f>GRAL.!$R$48</f>
        <v>0</v>
      </c>
      <c r="Z10" s="75">
        <f>GRAL.!$R$47</f>
        <v>35</v>
      </c>
    </row>
    <row r="11" spans="1:30">
      <c r="A11" s="18"/>
      <c r="B11" s="69">
        <v>7</v>
      </c>
      <c r="C11" s="74" t="s">
        <v>14</v>
      </c>
      <c r="D11" s="75">
        <f>GRAL.!$U$52</f>
        <v>22.857142857142847</v>
      </c>
      <c r="E11" s="76">
        <f>GRAL.!$U$51</f>
        <v>77.142857142857153</v>
      </c>
      <c r="F11" s="18"/>
      <c r="G11" s="73"/>
      <c r="H11" s="18"/>
      <c r="I11" s="18"/>
      <c r="J11" s="18"/>
      <c r="K11" s="18"/>
      <c r="L11" s="18"/>
      <c r="M11" s="18"/>
      <c r="N11" s="18"/>
      <c r="O11" s="18"/>
      <c r="P11" s="18"/>
      <c r="Q11" s="18"/>
      <c r="R11" s="18"/>
      <c r="S11" s="18"/>
      <c r="T11" s="18"/>
      <c r="U11" s="18"/>
      <c r="V11" s="63"/>
      <c r="W11" s="73"/>
      <c r="X11" s="114" t="s">
        <v>14</v>
      </c>
      <c r="Y11" s="112">
        <f>GRAL.!$U$48</f>
        <v>8</v>
      </c>
      <c r="Z11" s="75">
        <f>GRAL.!$U$47</f>
        <v>27</v>
      </c>
    </row>
    <row r="12" spans="1:30">
      <c r="A12" s="18"/>
      <c r="B12" s="69">
        <v>8</v>
      </c>
      <c r="C12" s="74" t="s">
        <v>105</v>
      </c>
      <c r="D12" s="75">
        <f>GRAL.!$X$52</f>
        <v>11.428571428571431</v>
      </c>
      <c r="E12" s="76">
        <f>GRAL.!$X$51</f>
        <v>88.571428571428569</v>
      </c>
      <c r="F12" s="18"/>
      <c r="G12" s="73"/>
      <c r="H12" s="18"/>
      <c r="I12" s="18"/>
      <c r="J12" s="18"/>
      <c r="K12" s="18"/>
      <c r="L12" s="18"/>
      <c r="M12" s="18"/>
      <c r="N12" s="18"/>
      <c r="O12" s="18"/>
      <c r="P12" s="18"/>
      <c r="Q12" s="18"/>
      <c r="R12" s="18"/>
      <c r="S12" s="18"/>
      <c r="T12" s="18"/>
      <c r="U12" s="18"/>
      <c r="V12" s="63"/>
      <c r="W12" s="73"/>
      <c r="X12" s="114" t="s">
        <v>105</v>
      </c>
      <c r="Y12" s="112">
        <f>GRAL.!$X$48</f>
        <v>4</v>
      </c>
      <c r="Z12" s="75">
        <f>GRAL.!$X$47</f>
        <v>31</v>
      </c>
    </row>
    <row r="13" spans="1:30">
      <c r="A13" s="18"/>
      <c r="B13" s="69">
        <v>9</v>
      </c>
      <c r="C13" s="74" t="s">
        <v>48</v>
      </c>
      <c r="D13" s="75">
        <f>GRAL.!$AA$52</f>
        <v>5.7142857142857224</v>
      </c>
      <c r="E13" s="76">
        <f>GRAL.!$AA$51</f>
        <v>94.285714285714278</v>
      </c>
      <c r="F13" s="18"/>
      <c r="G13" s="73"/>
      <c r="H13" s="18"/>
      <c r="I13" s="18"/>
      <c r="J13" s="18"/>
      <c r="K13" s="18"/>
      <c r="L13" s="18"/>
      <c r="M13" s="18"/>
      <c r="N13" s="18"/>
      <c r="O13" s="18"/>
      <c r="P13" s="18"/>
      <c r="Q13" s="18"/>
      <c r="R13" s="18"/>
      <c r="S13" s="18"/>
      <c r="T13" s="18"/>
      <c r="U13" s="18"/>
      <c r="V13" s="63"/>
      <c r="W13" s="73"/>
      <c r="X13" s="114" t="s">
        <v>48</v>
      </c>
      <c r="Y13" s="112">
        <f>GRAL.!$AA$48</f>
        <v>2</v>
      </c>
      <c r="Z13" s="75">
        <f>GRAL.!$AA$47</f>
        <v>33</v>
      </c>
    </row>
    <row r="14" spans="1:30">
      <c r="A14" s="18"/>
      <c r="B14" s="69">
        <v>11</v>
      </c>
      <c r="C14" s="74" t="s">
        <v>57</v>
      </c>
      <c r="D14" s="75">
        <f>GRAL.!$AD$52</f>
        <v>14.285714285714292</v>
      </c>
      <c r="E14" s="76">
        <f>GRAL.!$AD$51</f>
        <v>85.714285714285708</v>
      </c>
      <c r="F14" s="18"/>
      <c r="G14" s="73"/>
      <c r="H14" s="18"/>
      <c r="I14" s="18"/>
      <c r="J14" s="18"/>
      <c r="K14" s="18"/>
      <c r="L14" s="18"/>
      <c r="M14" s="18"/>
      <c r="N14" s="18"/>
      <c r="O14" s="18"/>
      <c r="P14" s="18"/>
      <c r="Q14" s="18"/>
      <c r="R14" s="18"/>
      <c r="S14" s="18"/>
      <c r="T14" s="18"/>
      <c r="U14" s="18"/>
      <c r="V14" s="63"/>
      <c r="W14" s="73"/>
      <c r="X14" s="114" t="s">
        <v>57</v>
      </c>
      <c r="Y14" s="112">
        <f>GRAL.!$AD$48</f>
        <v>5</v>
      </c>
      <c r="Z14" s="75">
        <f>GRAL.!$AD$47</f>
        <v>30</v>
      </c>
    </row>
    <row r="15" spans="1:30">
      <c r="A15" s="18"/>
      <c r="B15" s="69">
        <v>12</v>
      </c>
      <c r="C15" s="74" t="s">
        <v>19</v>
      </c>
      <c r="D15" s="75">
        <f>GRAL.!$AG$52</f>
        <v>0</v>
      </c>
      <c r="E15" s="76">
        <f>GRAL.!$AG$51</f>
        <v>100</v>
      </c>
      <c r="F15" s="18"/>
      <c r="G15" s="73"/>
      <c r="H15" s="18"/>
      <c r="I15" s="18"/>
      <c r="J15" s="18"/>
      <c r="K15" s="18"/>
      <c r="L15" s="18"/>
      <c r="M15" s="18"/>
      <c r="N15" s="18"/>
      <c r="O15" s="18"/>
      <c r="P15" s="18"/>
      <c r="Q15" s="18"/>
      <c r="R15" s="18"/>
      <c r="S15" s="18"/>
      <c r="T15" s="18"/>
      <c r="U15" s="18"/>
      <c r="V15" s="63"/>
      <c r="W15" s="73"/>
      <c r="X15" s="114" t="s">
        <v>19</v>
      </c>
      <c r="Y15" s="112">
        <f>GRAL.!$AG$48</f>
        <v>0</v>
      </c>
      <c r="Z15" s="75">
        <f>GRAL.!$AG$47</f>
        <v>35</v>
      </c>
    </row>
    <row r="16" spans="1:30">
      <c r="A16" s="18"/>
      <c r="B16" s="18"/>
      <c r="C16" s="18"/>
      <c r="D16" s="18"/>
      <c r="E16" s="18"/>
      <c r="F16" s="18"/>
      <c r="G16" s="18"/>
      <c r="H16" s="18"/>
      <c r="I16" s="18"/>
      <c r="J16" s="18"/>
      <c r="K16" s="18"/>
      <c r="L16" s="18"/>
      <c r="M16" s="18"/>
      <c r="N16" s="18"/>
      <c r="O16" s="18"/>
      <c r="P16" s="18"/>
      <c r="Q16" s="18"/>
      <c r="R16" s="18"/>
      <c r="S16" s="18"/>
      <c r="T16" s="18"/>
      <c r="U16" s="18"/>
      <c r="V16" s="18"/>
      <c r="W16" s="18"/>
      <c r="X16" s="18"/>
      <c r="Y16" s="18"/>
    </row>
    <row r="17" spans="1:26">
      <c r="A17" s="18"/>
      <c r="B17" s="18"/>
      <c r="C17" s="18"/>
      <c r="D17" s="18"/>
      <c r="E17" s="18"/>
      <c r="F17" s="18"/>
      <c r="G17" s="18"/>
      <c r="H17" s="18"/>
      <c r="I17" s="18"/>
      <c r="J17" s="18"/>
      <c r="K17" s="18"/>
      <c r="L17" s="18"/>
      <c r="M17" s="18"/>
      <c r="N17" s="18"/>
      <c r="O17" s="18"/>
      <c r="P17" s="18"/>
      <c r="Q17" s="18"/>
      <c r="R17" s="18"/>
      <c r="S17" s="18"/>
      <c r="T17" s="18"/>
      <c r="U17" s="18"/>
      <c r="V17" s="18"/>
      <c r="W17" s="18"/>
      <c r="X17" s="18"/>
      <c r="Y17" s="18"/>
    </row>
    <row r="18" spans="1:26">
      <c r="A18" s="18"/>
      <c r="B18" s="18"/>
      <c r="C18" s="18"/>
      <c r="D18" s="107"/>
      <c r="E18" s="107"/>
      <c r="F18" s="18"/>
      <c r="G18" s="18"/>
      <c r="H18" s="18"/>
      <c r="I18" s="18"/>
      <c r="J18" s="18"/>
      <c r="K18" s="18"/>
      <c r="L18" s="18"/>
      <c r="M18" s="18"/>
      <c r="N18" s="18"/>
      <c r="O18" s="18"/>
      <c r="P18" s="18"/>
      <c r="Q18" s="18"/>
      <c r="R18" s="18"/>
      <c r="S18" s="18"/>
      <c r="T18" s="18"/>
      <c r="U18" s="18"/>
      <c r="V18" s="18"/>
      <c r="W18" s="18"/>
      <c r="X18" s="18"/>
      <c r="Y18" s="18"/>
    </row>
    <row r="19" spans="1:26">
      <c r="A19" s="18"/>
      <c r="B19" s="18"/>
      <c r="C19" s="63"/>
      <c r="D19" s="73"/>
      <c r="E19" s="73"/>
      <c r="F19" s="18"/>
      <c r="G19" s="18"/>
      <c r="H19" s="18"/>
      <c r="I19" s="18"/>
      <c r="J19" s="18"/>
      <c r="K19" s="18"/>
      <c r="L19" s="18"/>
      <c r="M19" s="18"/>
      <c r="N19" s="18"/>
      <c r="O19" s="18"/>
      <c r="P19" s="18"/>
      <c r="Q19" s="18"/>
      <c r="R19" s="18"/>
      <c r="S19" s="18"/>
      <c r="T19" s="18"/>
      <c r="U19" s="18"/>
      <c r="V19" s="18"/>
      <c r="W19" s="18"/>
      <c r="X19" s="18"/>
      <c r="Y19" s="18"/>
    </row>
    <row r="20" spans="1:26">
      <c r="A20" s="18"/>
      <c r="B20" s="18"/>
      <c r="C20" s="63"/>
      <c r="D20" s="73"/>
      <c r="E20" s="73"/>
      <c r="F20" s="18"/>
      <c r="G20" s="18"/>
      <c r="H20" s="18"/>
      <c r="I20" s="18"/>
      <c r="J20" s="18"/>
      <c r="K20" s="18"/>
      <c r="L20" s="18"/>
      <c r="M20" s="18"/>
      <c r="N20" s="18"/>
      <c r="O20" s="18"/>
      <c r="P20" s="18"/>
      <c r="Q20" s="18"/>
      <c r="R20" s="18"/>
      <c r="S20" s="18"/>
      <c r="T20" s="18"/>
      <c r="U20" s="18"/>
      <c r="V20" s="18"/>
      <c r="W20" s="18"/>
      <c r="X20" s="18"/>
      <c r="Y20" s="18"/>
    </row>
    <row r="21" spans="1:26">
      <c r="A21" s="18"/>
      <c r="B21" s="18"/>
      <c r="C21" s="63"/>
      <c r="D21" s="73"/>
      <c r="E21" s="73"/>
      <c r="F21" s="18"/>
      <c r="G21" s="18"/>
      <c r="H21" s="18"/>
      <c r="I21" s="18"/>
      <c r="J21" s="18"/>
      <c r="K21" s="18"/>
      <c r="L21" s="18"/>
      <c r="M21" s="18"/>
      <c r="N21" s="18"/>
      <c r="O21" s="18"/>
      <c r="P21" s="18"/>
      <c r="Q21" s="18"/>
      <c r="R21" s="18"/>
      <c r="S21" s="18"/>
      <c r="T21" s="18"/>
      <c r="U21" s="18"/>
      <c r="V21" s="18"/>
      <c r="W21" s="18"/>
      <c r="X21" s="18"/>
      <c r="Y21" s="18"/>
    </row>
    <row r="22" spans="1:26">
      <c r="A22" s="18"/>
      <c r="B22" s="18"/>
      <c r="C22" s="63"/>
      <c r="D22" s="73"/>
      <c r="E22" s="73"/>
      <c r="F22" s="18"/>
      <c r="G22" s="18"/>
      <c r="H22" s="18"/>
      <c r="I22" s="18"/>
      <c r="J22" s="18"/>
      <c r="K22" s="18"/>
      <c r="L22" s="18"/>
      <c r="M22" s="18"/>
      <c r="N22" s="18"/>
      <c r="O22" s="18"/>
      <c r="P22" s="18"/>
      <c r="Q22" s="18"/>
      <c r="R22" s="18"/>
      <c r="S22" s="18"/>
      <c r="T22" s="18"/>
      <c r="U22" s="18"/>
      <c r="V22" s="18"/>
      <c r="W22" s="18"/>
      <c r="X22" s="18"/>
      <c r="Y22" s="18"/>
    </row>
    <row r="23" spans="1:26">
      <c r="A23" s="18"/>
      <c r="B23" s="18"/>
      <c r="C23" s="63"/>
      <c r="D23" s="73"/>
      <c r="E23" s="73"/>
      <c r="F23" s="18"/>
      <c r="G23" s="18"/>
      <c r="H23" s="18"/>
      <c r="I23" s="18"/>
      <c r="J23" s="18"/>
      <c r="K23" s="18"/>
      <c r="L23" s="18"/>
      <c r="M23" s="18"/>
      <c r="N23" s="18"/>
      <c r="O23" s="18"/>
      <c r="P23" s="18"/>
      <c r="Q23" s="18"/>
      <c r="R23" s="18"/>
      <c r="S23" s="18"/>
      <c r="T23" s="18"/>
      <c r="U23" s="18"/>
      <c r="V23" s="18"/>
      <c r="W23" s="18"/>
      <c r="X23" s="18"/>
      <c r="Y23" s="18"/>
    </row>
    <row r="24" spans="1:26">
      <c r="A24" s="18"/>
      <c r="B24" s="18"/>
      <c r="C24" s="63"/>
      <c r="D24" s="73"/>
      <c r="E24" s="73"/>
      <c r="F24" s="18"/>
      <c r="G24" s="18"/>
      <c r="H24" s="18"/>
      <c r="I24" s="18"/>
      <c r="J24" s="18"/>
      <c r="K24" s="18"/>
      <c r="L24" s="18"/>
      <c r="M24" s="18"/>
      <c r="N24" s="18"/>
      <c r="O24" s="18"/>
      <c r="P24" s="18"/>
      <c r="Q24" s="18"/>
      <c r="R24" s="18"/>
      <c r="S24" s="18"/>
      <c r="T24" s="18"/>
      <c r="U24" s="18"/>
      <c r="V24" s="18"/>
      <c r="W24" s="18"/>
      <c r="X24" s="18"/>
      <c r="Y24" s="18"/>
    </row>
    <row r="25" spans="1:26">
      <c r="A25" s="18"/>
      <c r="B25" s="18"/>
      <c r="C25" s="63"/>
      <c r="D25" s="73"/>
      <c r="E25" s="73"/>
      <c r="F25" s="18"/>
      <c r="G25" s="18"/>
      <c r="H25" s="18"/>
      <c r="I25" s="18"/>
      <c r="J25" s="18"/>
      <c r="K25" s="18"/>
      <c r="L25" s="18"/>
      <c r="M25" s="18"/>
      <c r="N25" s="18"/>
      <c r="O25" s="18"/>
      <c r="P25" s="18"/>
      <c r="Q25" s="18"/>
      <c r="R25" s="18"/>
      <c r="S25" s="18"/>
      <c r="T25" s="18"/>
      <c r="U25" s="18"/>
      <c r="V25" s="18"/>
      <c r="W25" s="18"/>
      <c r="X25" s="18"/>
      <c r="Y25" s="18"/>
      <c r="Z25" t="s">
        <v>70</v>
      </c>
    </row>
    <row r="26" spans="1:26">
      <c r="A26" s="18"/>
      <c r="B26" s="18"/>
      <c r="C26" s="63"/>
      <c r="D26" s="73"/>
      <c r="E26" s="73"/>
      <c r="F26" s="18"/>
      <c r="G26" s="18"/>
      <c r="H26" s="18"/>
      <c r="I26" s="18"/>
      <c r="J26" s="18"/>
      <c r="K26" s="18"/>
      <c r="L26" s="18"/>
      <c r="M26" s="18"/>
      <c r="N26" s="18"/>
      <c r="O26" s="18"/>
      <c r="P26" s="18"/>
      <c r="Q26" s="18"/>
      <c r="R26" s="18"/>
      <c r="S26" s="18"/>
      <c r="T26" s="18"/>
      <c r="U26" s="18"/>
      <c r="V26" s="18"/>
      <c r="W26" s="18"/>
      <c r="X26" s="18"/>
      <c r="Y26" s="18"/>
    </row>
    <row r="27" spans="1:26">
      <c r="A27" s="18"/>
      <c r="B27" s="18"/>
      <c r="C27" s="63"/>
      <c r="D27" s="73"/>
      <c r="E27" s="73"/>
      <c r="F27" s="18"/>
      <c r="G27" s="18"/>
      <c r="H27" s="18"/>
      <c r="I27" s="18"/>
      <c r="J27" s="18"/>
      <c r="K27" s="18"/>
      <c r="L27" s="18"/>
      <c r="M27" s="18"/>
      <c r="N27" s="18"/>
      <c r="O27" s="18"/>
      <c r="P27" s="18"/>
      <c r="Q27" s="18"/>
      <c r="R27" s="18"/>
      <c r="S27" s="18"/>
      <c r="T27" s="18"/>
      <c r="U27" s="18"/>
      <c r="V27" s="18"/>
      <c r="W27" s="18"/>
      <c r="X27" s="18"/>
      <c r="Y27" s="18"/>
    </row>
    <row r="28" spans="1:26">
      <c r="A28" s="18"/>
      <c r="B28" s="18"/>
      <c r="C28" s="63"/>
      <c r="D28" s="73"/>
      <c r="E28" s="73"/>
      <c r="F28" s="18"/>
      <c r="G28" s="18"/>
      <c r="H28" s="18"/>
      <c r="I28" s="18"/>
      <c r="J28" s="18"/>
      <c r="K28" s="18"/>
      <c r="L28" s="18"/>
      <c r="M28" s="18"/>
      <c r="N28" s="18"/>
      <c r="O28" s="18"/>
      <c r="P28" s="18"/>
      <c r="Q28" s="18"/>
      <c r="R28" s="18"/>
      <c r="S28" s="18"/>
      <c r="T28" s="18"/>
      <c r="U28" s="18"/>
      <c r="V28" s="18"/>
      <c r="W28" s="18"/>
      <c r="X28" s="18"/>
      <c r="Y28" s="18"/>
    </row>
    <row r="29" spans="1:26">
      <c r="A29" s="18"/>
      <c r="B29" s="18"/>
      <c r="C29" s="63"/>
      <c r="D29" s="73"/>
      <c r="E29" s="73"/>
      <c r="F29" s="18"/>
      <c r="G29" s="18"/>
      <c r="H29" s="18"/>
      <c r="I29" s="18"/>
      <c r="J29" s="18"/>
      <c r="K29" s="18"/>
      <c r="L29" s="18"/>
      <c r="M29" s="18"/>
      <c r="N29" s="18"/>
      <c r="O29" s="18"/>
      <c r="P29" s="18"/>
      <c r="Q29" s="18"/>
      <c r="R29" s="18"/>
      <c r="S29" s="18"/>
      <c r="T29" s="18"/>
      <c r="U29" s="18"/>
      <c r="V29" s="18"/>
      <c r="W29" s="18"/>
      <c r="X29" s="18"/>
      <c r="Y29" s="18"/>
    </row>
    <row r="30" spans="1:26">
      <c r="A30" s="18"/>
      <c r="B30" s="18"/>
      <c r="C30" s="18"/>
      <c r="D30" s="18"/>
      <c r="E30" s="18"/>
      <c r="F30" s="18"/>
      <c r="G30" s="18"/>
      <c r="H30" s="18"/>
      <c r="I30" s="18"/>
      <c r="J30" s="18"/>
      <c r="K30" s="18"/>
      <c r="L30" s="18"/>
      <c r="M30" s="18"/>
      <c r="N30" s="18"/>
      <c r="O30" s="18"/>
      <c r="P30" s="18"/>
      <c r="Q30" s="18"/>
      <c r="R30" s="18"/>
      <c r="S30" s="18"/>
      <c r="T30" s="18"/>
      <c r="U30" s="18"/>
      <c r="V30" s="18"/>
      <c r="W30" s="18"/>
      <c r="X30" s="18"/>
      <c r="Y30" s="18"/>
    </row>
    <row r="31" spans="1:26">
      <c r="A31" s="18"/>
      <c r="B31" s="18"/>
      <c r="C31" s="18"/>
      <c r="D31" s="18"/>
      <c r="E31" s="18"/>
      <c r="F31" s="18"/>
      <c r="G31" s="18"/>
      <c r="H31" s="18"/>
      <c r="I31" s="18"/>
      <c r="J31" s="18"/>
      <c r="K31" s="18"/>
      <c r="L31" s="18"/>
      <c r="M31" s="18"/>
      <c r="N31" s="18"/>
      <c r="O31" s="18"/>
      <c r="P31" s="18"/>
      <c r="Q31" s="18"/>
      <c r="R31" s="18"/>
      <c r="S31" s="18"/>
      <c r="T31" s="18"/>
      <c r="U31" s="18"/>
      <c r="V31" s="18"/>
      <c r="W31" s="18"/>
      <c r="X31" s="18"/>
      <c r="Y31" s="18"/>
    </row>
    <row r="32" spans="1:26">
      <c r="A32" s="18"/>
      <c r="B32" s="18"/>
      <c r="C32" s="18"/>
      <c r="D32" s="18"/>
      <c r="E32" s="18"/>
      <c r="F32" s="18"/>
      <c r="G32" s="18"/>
      <c r="H32" s="18"/>
      <c r="I32" s="18"/>
      <c r="J32" s="18"/>
      <c r="K32" s="18"/>
      <c r="L32" s="18"/>
      <c r="M32" s="18"/>
      <c r="N32" s="18"/>
      <c r="O32" s="18"/>
      <c r="P32" s="18"/>
      <c r="Q32" s="18"/>
      <c r="R32" s="18"/>
      <c r="S32" s="18"/>
      <c r="T32" s="18"/>
      <c r="U32" s="18"/>
      <c r="V32" s="18"/>
      <c r="W32" s="18"/>
      <c r="X32" s="18"/>
      <c r="Y32" s="18"/>
    </row>
    <row r="33" spans="1:30">
      <c r="A33" s="18"/>
      <c r="B33" s="18"/>
      <c r="C33" s="18"/>
      <c r="D33" s="18"/>
      <c r="E33" s="18"/>
      <c r="F33" s="18"/>
      <c r="G33" s="18"/>
      <c r="H33" s="18"/>
      <c r="I33" s="18"/>
      <c r="J33" s="18"/>
      <c r="K33" s="18"/>
      <c r="L33" s="18"/>
      <c r="M33" s="18"/>
      <c r="N33" s="18"/>
      <c r="O33" s="18"/>
      <c r="P33" s="18"/>
      <c r="Q33" s="18"/>
      <c r="R33" s="18"/>
      <c r="S33" s="18"/>
      <c r="T33" s="18"/>
      <c r="U33" s="18"/>
      <c r="V33" s="18"/>
      <c r="W33" s="18"/>
      <c r="X33" s="18"/>
      <c r="Y33" s="18"/>
    </row>
    <row r="34" spans="1:30">
      <c r="A34" s="18"/>
      <c r="B34" s="18"/>
      <c r="C34" s="18"/>
      <c r="D34" s="18"/>
      <c r="E34" s="18"/>
      <c r="F34" s="18"/>
      <c r="G34" s="18"/>
      <c r="H34" s="18"/>
      <c r="I34" s="18"/>
      <c r="J34" s="18"/>
      <c r="K34" s="18"/>
      <c r="L34" s="18"/>
      <c r="M34" s="18"/>
      <c r="N34" s="18"/>
      <c r="O34" s="18"/>
      <c r="P34" s="18"/>
      <c r="Q34" s="18"/>
      <c r="R34" s="18"/>
      <c r="S34" s="18"/>
      <c r="T34" s="18"/>
      <c r="U34" s="18"/>
      <c r="V34" s="18"/>
      <c r="W34" s="18"/>
      <c r="X34" s="18"/>
      <c r="Y34" s="18"/>
    </row>
    <row r="35" spans="1:30">
      <c r="A35" s="18"/>
      <c r="B35" s="18"/>
      <c r="C35" s="18"/>
      <c r="D35" s="18"/>
      <c r="E35" s="18"/>
      <c r="F35" s="18"/>
      <c r="G35" s="18"/>
      <c r="H35" s="18"/>
      <c r="I35" s="18"/>
      <c r="J35" s="18"/>
      <c r="K35" s="18"/>
      <c r="L35" s="18"/>
      <c r="M35" s="18"/>
      <c r="N35" s="18"/>
      <c r="O35" s="18"/>
      <c r="P35" s="18"/>
      <c r="Q35" s="18"/>
      <c r="R35" s="18"/>
      <c r="S35" s="18"/>
      <c r="T35" s="18"/>
      <c r="U35" s="18"/>
      <c r="V35" s="18"/>
      <c r="W35" s="18"/>
      <c r="X35" s="18"/>
      <c r="Y35" s="18"/>
    </row>
    <row r="36" spans="1:30">
      <c r="A36" s="18"/>
      <c r="B36" s="18"/>
      <c r="C36" s="18"/>
      <c r="D36" s="18"/>
      <c r="E36" s="18"/>
      <c r="F36" s="18"/>
      <c r="G36" s="18"/>
      <c r="H36" s="18"/>
      <c r="I36" s="18"/>
      <c r="J36" s="18"/>
      <c r="K36" s="18"/>
      <c r="L36" s="18"/>
      <c r="M36" s="18"/>
      <c r="N36" s="18"/>
      <c r="O36" s="18"/>
      <c r="P36" s="18"/>
      <c r="Q36" s="18"/>
      <c r="R36" s="18"/>
      <c r="S36" s="18"/>
      <c r="T36" s="18"/>
      <c r="U36" s="18"/>
      <c r="V36" s="18"/>
      <c r="W36" s="18"/>
      <c r="X36" s="18"/>
      <c r="Y36" s="18"/>
    </row>
    <row r="37" spans="1:30">
      <c r="A37" s="18"/>
      <c r="B37" s="18"/>
      <c r="C37" s="18"/>
      <c r="D37" s="18"/>
      <c r="E37" s="18"/>
      <c r="F37" s="18"/>
      <c r="G37" s="18"/>
      <c r="H37" s="18"/>
      <c r="I37" s="18"/>
      <c r="J37" s="18"/>
      <c r="K37" s="18"/>
      <c r="L37" s="18"/>
      <c r="M37" s="18"/>
      <c r="N37" s="18"/>
      <c r="O37" s="18"/>
      <c r="P37" s="18"/>
      <c r="Q37" s="18"/>
      <c r="R37" s="18"/>
      <c r="S37" s="18"/>
      <c r="T37" s="18"/>
      <c r="U37" s="18"/>
      <c r="V37" s="18"/>
      <c r="W37" s="18"/>
      <c r="X37" s="18"/>
      <c r="Y37" s="18"/>
    </row>
    <row r="38" spans="1:30">
      <c r="A38" s="18"/>
      <c r="B38" s="18"/>
      <c r="C38" s="18"/>
      <c r="D38" s="18"/>
      <c r="E38" s="18"/>
      <c r="F38" s="18"/>
      <c r="G38" s="18"/>
      <c r="H38" s="18"/>
      <c r="I38" s="18"/>
      <c r="J38" s="18"/>
      <c r="K38" s="18"/>
      <c r="L38" s="18"/>
      <c r="M38" s="18"/>
      <c r="N38" s="18"/>
      <c r="O38" s="18"/>
      <c r="P38" s="18"/>
      <c r="Q38" s="18"/>
      <c r="R38" s="18"/>
      <c r="S38" s="18"/>
      <c r="T38" s="18"/>
      <c r="U38" s="18"/>
      <c r="V38" s="18"/>
      <c r="W38" s="18"/>
      <c r="X38" s="18"/>
      <c r="Y38" s="18"/>
    </row>
    <row r="39" spans="1:30" ht="22.5" customHeight="1">
      <c r="F39" s="18"/>
      <c r="G39" s="18"/>
      <c r="H39" s="358" t="s">
        <v>95</v>
      </c>
      <c r="I39" s="358"/>
      <c r="J39" s="358"/>
      <c r="K39" s="358"/>
      <c r="L39" s="358"/>
      <c r="M39" s="358"/>
      <c r="N39" s="358"/>
      <c r="O39" s="358"/>
      <c r="P39" s="62"/>
      <c r="Q39" s="357" t="str">
        <f>NOMINA!$B$2</f>
        <v>CURSO 2A</v>
      </c>
      <c r="R39" s="357"/>
      <c r="S39" s="357"/>
      <c r="T39" s="359" t="s">
        <v>94</v>
      </c>
      <c r="U39" s="359"/>
      <c r="V39" s="359"/>
      <c r="W39" s="359"/>
      <c r="X39" s="18"/>
      <c r="Y39" s="18"/>
      <c r="AA39" s="356"/>
      <c r="AB39" s="356"/>
      <c r="AC39" s="356"/>
      <c r="AD39" s="63"/>
    </row>
    <row r="40" spans="1:30" ht="15.75" thickBot="1">
      <c r="A40" s="18"/>
      <c r="B40" s="18"/>
      <c r="C40" s="118" t="s">
        <v>71</v>
      </c>
      <c r="D40" s="18"/>
      <c r="E40" s="18"/>
      <c r="F40" s="18"/>
      <c r="G40" s="18"/>
      <c r="H40" s="18"/>
      <c r="I40" s="18"/>
      <c r="J40" s="18"/>
      <c r="K40" s="18"/>
      <c r="L40" s="18"/>
      <c r="M40" s="18"/>
      <c r="N40" s="18"/>
      <c r="O40" s="18"/>
      <c r="P40" s="18"/>
      <c r="Q40" s="18"/>
      <c r="R40" s="18"/>
      <c r="S40" s="18"/>
      <c r="T40" s="18"/>
      <c r="U40" s="18"/>
      <c r="V40" s="18"/>
      <c r="W40" s="18"/>
      <c r="X40" s="118" t="s">
        <v>76</v>
      </c>
      <c r="Y40" s="18"/>
    </row>
    <row r="41" spans="1:30" ht="15.75" thickBot="1">
      <c r="A41" s="18"/>
      <c r="B41" s="64"/>
      <c r="C41" s="65"/>
      <c r="D41" s="66" t="s">
        <v>49</v>
      </c>
      <c r="E41" s="67" t="s">
        <v>50</v>
      </c>
      <c r="F41" s="18"/>
      <c r="G41" s="18"/>
      <c r="H41" s="18"/>
      <c r="I41" s="18"/>
      <c r="J41" s="18"/>
      <c r="K41" s="18"/>
      <c r="L41" s="18"/>
      <c r="M41" s="18"/>
      <c r="N41" s="18"/>
      <c r="O41" s="18"/>
      <c r="P41" s="18"/>
      <c r="Q41" s="18"/>
      <c r="R41" s="18"/>
      <c r="S41" s="18"/>
      <c r="T41" s="18"/>
      <c r="U41" s="18"/>
      <c r="V41" s="18"/>
      <c r="W41" s="107"/>
      <c r="X41" s="80"/>
      <c r="Y41" s="110" t="s">
        <v>77</v>
      </c>
      <c r="Z41" s="110" t="s">
        <v>78</v>
      </c>
    </row>
    <row r="42" spans="1:30">
      <c r="A42" s="18"/>
      <c r="B42" s="69">
        <v>1</v>
      </c>
      <c r="C42" s="70" t="s">
        <v>15</v>
      </c>
      <c r="D42" s="71">
        <f>GRAL.!$C$52</f>
        <v>28.571428571428569</v>
      </c>
      <c r="E42" s="72" t="e">
        <f>GRAL.!$D$52</f>
        <v>#DIV/0!</v>
      </c>
      <c r="F42" s="18"/>
      <c r="G42" s="73"/>
      <c r="H42" s="18"/>
      <c r="I42" s="18"/>
      <c r="J42" s="18"/>
      <c r="K42" s="18"/>
      <c r="L42" s="18"/>
      <c r="M42" s="18"/>
      <c r="N42" s="18"/>
      <c r="O42" s="18"/>
      <c r="P42" s="18"/>
      <c r="Q42" s="18"/>
      <c r="R42" s="18"/>
      <c r="S42" s="18"/>
      <c r="T42" s="18"/>
      <c r="U42" s="18"/>
      <c r="V42" s="63"/>
      <c r="W42" s="73"/>
      <c r="X42" s="113" t="s">
        <v>15</v>
      </c>
      <c r="Y42" s="111">
        <f>GRAL.!$C$48</f>
        <v>10</v>
      </c>
      <c r="Z42" s="71">
        <f>GRAL.!$D$48</f>
        <v>0</v>
      </c>
    </row>
    <row r="43" spans="1:30">
      <c r="A43" s="18"/>
      <c r="B43" s="69">
        <v>2</v>
      </c>
      <c r="C43" s="74" t="s">
        <v>16</v>
      </c>
      <c r="D43" s="75">
        <f>GRAL.!$F$52</f>
        <v>22.857142857142847</v>
      </c>
      <c r="E43" s="75" t="e">
        <f>GRAL.!$G$52</f>
        <v>#DIV/0!</v>
      </c>
      <c r="F43" s="18"/>
      <c r="G43" s="73"/>
      <c r="H43" s="18"/>
      <c r="I43" s="18"/>
      <c r="J43" s="18"/>
      <c r="K43" s="18"/>
      <c r="L43" s="18"/>
      <c r="M43" s="18"/>
      <c r="N43" s="18"/>
      <c r="O43" s="18"/>
      <c r="P43" s="18"/>
      <c r="Q43" s="18"/>
      <c r="R43" s="18"/>
      <c r="S43" s="18"/>
      <c r="T43" s="18"/>
      <c r="U43" s="18"/>
      <c r="V43" s="63"/>
      <c r="W43" s="73"/>
      <c r="X43" s="114" t="s">
        <v>16</v>
      </c>
      <c r="Y43" s="112">
        <f>GRAL.!$F$48</f>
        <v>8</v>
      </c>
      <c r="Z43" s="75">
        <f>GRAL.!$G$48</f>
        <v>0</v>
      </c>
    </row>
    <row r="44" spans="1:30">
      <c r="A44" s="18"/>
      <c r="B44" s="69">
        <v>3</v>
      </c>
      <c r="C44" s="74" t="s">
        <v>68</v>
      </c>
      <c r="D44" s="75">
        <f>GRAL.!$I$52</f>
        <v>28.571428571428569</v>
      </c>
      <c r="E44" s="75" t="e">
        <f>GRAL.!$J$52</f>
        <v>#DIV/0!</v>
      </c>
      <c r="F44" s="18"/>
      <c r="G44" s="73"/>
      <c r="H44" s="18"/>
      <c r="I44" s="18"/>
      <c r="J44" s="18"/>
      <c r="K44" s="18"/>
      <c r="L44" s="18"/>
      <c r="M44" s="18"/>
      <c r="N44" s="18"/>
      <c r="O44" s="18"/>
      <c r="P44" s="18"/>
      <c r="Q44" s="18"/>
      <c r="R44" s="18"/>
      <c r="S44" s="18"/>
      <c r="T44" s="18"/>
      <c r="U44" s="18"/>
      <c r="V44" s="63"/>
      <c r="W44" s="73"/>
      <c r="X44" s="114" t="s">
        <v>68</v>
      </c>
      <c r="Y44" s="112">
        <f>GRAL.!$I$48</f>
        <v>10</v>
      </c>
      <c r="Z44" s="75">
        <f>GRAL.!J$48</f>
        <v>0</v>
      </c>
    </row>
    <row r="45" spans="1:30">
      <c r="A45" s="18"/>
      <c r="B45" s="69">
        <v>4</v>
      </c>
      <c r="C45" s="74" t="s">
        <v>17</v>
      </c>
      <c r="D45" s="75">
        <f>GRAL.!L$52</f>
        <v>5.7142857142857224</v>
      </c>
      <c r="E45" s="75" t="e">
        <f>GRAL.!$M$52</f>
        <v>#DIV/0!</v>
      </c>
      <c r="F45" s="18"/>
      <c r="G45" s="73"/>
      <c r="H45" s="18"/>
      <c r="I45" s="18"/>
      <c r="J45" s="18"/>
      <c r="K45" s="18"/>
      <c r="L45" s="18"/>
      <c r="M45" s="18"/>
      <c r="N45" s="18"/>
      <c r="O45" s="18"/>
      <c r="P45" s="18"/>
      <c r="Q45" s="18"/>
      <c r="R45" s="18"/>
      <c r="S45" s="18"/>
      <c r="T45" s="18"/>
      <c r="U45" s="18"/>
      <c r="V45" s="63"/>
      <c r="W45" s="73"/>
      <c r="X45" s="114" t="s">
        <v>17</v>
      </c>
      <c r="Y45" s="112">
        <f>GRAL.!$L$48</f>
        <v>2</v>
      </c>
      <c r="Z45" s="75">
        <f>GRAL.!$M$48</f>
        <v>0</v>
      </c>
    </row>
    <row r="46" spans="1:30">
      <c r="A46" s="18"/>
      <c r="B46" s="69">
        <v>5</v>
      </c>
      <c r="C46" s="74" t="s">
        <v>18</v>
      </c>
      <c r="D46" s="75">
        <f>GRAL.!$O$52</f>
        <v>11.428571428571431</v>
      </c>
      <c r="E46" s="75" t="e">
        <f>GRAL.!$P$52</f>
        <v>#DIV/0!</v>
      </c>
      <c r="F46" s="18"/>
      <c r="G46" s="73"/>
      <c r="H46" s="18"/>
      <c r="I46" s="18"/>
      <c r="J46" s="18"/>
      <c r="K46" s="18"/>
      <c r="L46" s="18"/>
      <c r="M46" s="18"/>
      <c r="N46" s="18"/>
      <c r="O46" s="18"/>
      <c r="P46" s="18"/>
      <c r="Q46" s="18"/>
      <c r="R46" s="18"/>
      <c r="S46" s="18"/>
      <c r="T46" s="18"/>
      <c r="U46" s="18"/>
      <c r="V46" s="63"/>
      <c r="W46" s="73"/>
      <c r="X46" s="114" t="s">
        <v>18</v>
      </c>
      <c r="Y46" s="112">
        <f>GRAL.!$O$48</f>
        <v>4</v>
      </c>
      <c r="Z46" s="75">
        <f>GRAL.!$P$48</f>
        <v>0</v>
      </c>
    </row>
    <row r="47" spans="1:30">
      <c r="A47" s="18"/>
      <c r="B47" s="69">
        <v>6</v>
      </c>
      <c r="C47" s="74" t="s">
        <v>40</v>
      </c>
      <c r="D47" s="75">
        <f>GRAL.!$R$52</f>
        <v>0</v>
      </c>
      <c r="E47" s="75" t="e">
        <f>GRAL.!$S$52</f>
        <v>#DIV/0!</v>
      </c>
      <c r="F47" s="18"/>
      <c r="G47" s="73"/>
      <c r="H47" s="18"/>
      <c r="I47" s="18"/>
      <c r="J47" s="18"/>
      <c r="K47" s="18"/>
      <c r="L47" s="18"/>
      <c r="M47" s="18"/>
      <c r="N47" s="18"/>
      <c r="O47" s="18"/>
      <c r="P47" s="18"/>
      <c r="Q47" s="18"/>
      <c r="R47" s="18"/>
      <c r="S47" s="18"/>
      <c r="T47" s="18"/>
      <c r="U47" s="18"/>
      <c r="V47" s="63"/>
      <c r="W47" s="73"/>
      <c r="X47" s="114" t="s">
        <v>40</v>
      </c>
      <c r="Y47" s="112">
        <f>GRAL.!$R$48</f>
        <v>0</v>
      </c>
      <c r="Z47" s="75">
        <f>GRAL.!$S$48</f>
        <v>0</v>
      </c>
    </row>
    <row r="48" spans="1:30">
      <c r="A48" s="18"/>
      <c r="B48" s="69">
        <v>7</v>
      </c>
      <c r="C48" s="74" t="s">
        <v>14</v>
      </c>
      <c r="D48" s="75">
        <f>GRAL.!$U$52</f>
        <v>22.857142857142847</v>
      </c>
      <c r="E48" s="75" t="e">
        <f>GRAL.!$V$52</f>
        <v>#DIV/0!</v>
      </c>
      <c r="F48" s="18"/>
      <c r="G48" s="73"/>
      <c r="H48" s="18"/>
      <c r="I48" s="18"/>
      <c r="J48" s="18"/>
      <c r="K48" s="18"/>
      <c r="L48" s="18"/>
      <c r="M48" s="18"/>
      <c r="N48" s="18"/>
      <c r="O48" s="18"/>
      <c r="P48" s="18"/>
      <c r="Q48" s="18"/>
      <c r="R48" s="18"/>
      <c r="S48" s="18"/>
      <c r="T48" s="18"/>
      <c r="U48" s="18"/>
      <c r="V48" s="63"/>
      <c r="W48" s="73"/>
      <c r="X48" s="114" t="s">
        <v>14</v>
      </c>
      <c r="Y48" s="112">
        <f>GRAL.!$U$48</f>
        <v>8</v>
      </c>
      <c r="Z48" s="75">
        <f>GRAL.!$V$48</f>
        <v>0</v>
      </c>
    </row>
    <row r="49" spans="1:26">
      <c r="A49" s="18"/>
      <c r="B49" s="69">
        <v>8</v>
      </c>
      <c r="C49" s="74" t="s">
        <v>105</v>
      </c>
      <c r="D49" s="75">
        <f>GRAL.!$X$52</f>
        <v>11.428571428571431</v>
      </c>
      <c r="E49" s="75" t="e">
        <f>GRAL.!$Y$52</f>
        <v>#DIV/0!</v>
      </c>
      <c r="F49" s="18"/>
      <c r="G49" s="73"/>
      <c r="H49" s="18"/>
      <c r="I49" s="18"/>
      <c r="J49" s="18"/>
      <c r="K49" s="18"/>
      <c r="L49" s="18"/>
      <c r="M49" s="18"/>
      <c r="N49" s="18"/>
      <c r="O49" s="18"/>
      <c r="P49" s="18"/>
      <c r="Q49" s="18"/>
      <c r="R49" s="18"/>
      <c r="S49" s="18"/>
      <c r="T49" s="18"/>
      <c r="U49" s="18"/>
      <c r="V49" s="63"/>
      <c r="W49" s="73"/>
      <c r="X49" s="114" t="s">
        <v>105</v>
      </c>
      <c r="Y49" s="112">
        <f>GRAL.!$X$48</f>
        <v>4</v>
      </c>
      <c r="Z49" s="75">
        <f>GRAL.!$Y$48</f>
        <v>0</v>
      </c>
    </row>
    <row r="50" spans="1:26">
      <c r="A50" s="18"/>
      <c r="B50" s="69">
        <v>9</v>
      </c>
      <c r="C50" s="74" t="s">
        <v>48</v>
      </c>
      <c r="D50" s="75">
        <f>GRAL.!$AA$52</f>
        <v>5.7142857142857224</v>
      </c>
      <c r="E50" s="75" t="e">
        <f>GRAL.!$AB$52</f>
        <v>#DIV/0!</v>
      </c>
      <c r="F50" s="18"/>
      <c r="G50" s="73"/>
      <c r="H50" s="18"/>
      <c r="I50" s="18"/>
      <c r="J50" s="18"/>
      <c r="K50" s="18"/>
      <c r="L50" s="18"/>
      <c r="M50" s="18"/>
      <c r="N50" s="18"/>
      <c r="O50" s="18"/>
      <c r="P50" s="18"/>
      <c r="Q50" s="18"/>
      <c r="R50" s="18"/>
      <c r="S50" s="18"/>
      <c r="T50" s="18"/>
      <c r="U50" s="18"/>
      <c r="V50" s="63"/>
      <c r="W50" s="73"/>
      <c r="X50" s="114" t="s">
        <v>48</v>
      </c>
      <c r="Y50" s="112">
        <f>GRAL.!$AA$48</f>
        <v>2</v>
      </c>
      <c r="Z50" s="75">
        <f>GRAL.!$AB$48</f>
        <v>0</v>
      </c>
    </row>
    <row r="51" spans="1:26">
      <c r="A51" s="18"/>
      <c r="B51" s="69">
        <v>11</v>
      </c>
      <c r="C51" s="74" t="s">
        <v>57</v>
      </c>
      <c r="D51" s="75">
        <f>GRAL.!$AD$52</f>
        <v>14.285714285714292</v>
      </c>
      <c r="E51" s="75" t="e">
        <f>GRAL.!$AE$52</f>
        <v>#DIV/0!</v>
      </c>
      <c r="F51" s="18"/>
      <c r="G51" s="73"/>
      <c r="H51" s="18"/>
      <c r="I51" s="18"/>
      <c r="J51" s="18"/>
      <c r="K51" s="18"/>
      <c r="L51" s="18"/>
      <c r="M51" s="18"/>
      <c r="N51" s="18"/>
      <c r="O51" s="18"/>
      <c r="P51" s="18"/>
      <c r="Q51" s="18"/>
      <c r="R51" s="18"/>
      <c r="S51" s="18"/>
      <c r="T51" s="18"/>
      <c r="U51" s="18"/>
      <c r="V51" s="63"/>
      <c r="W51" s="73"/>
      <c r="X51" s="114" t="s">
        <v>57</v>
      </c>
      <c r="Y51" s="112">
        <f>GRAL.!$AD$48</f>
        <v>5</v>
      </c>
      <c r="Z51" s="75">
        <f>GRAL.!$AE$48</f>
        <v>0</v>
      </c>
    </row>
    <row r="52" spans="1:26">
      <c r="A52" s="18"/>
      <c r="B52" s="69">
        <v>12</v>
      </c>
      <c r="C52" s="74" t="s">
        <v>19</v>
      </c>
      <c r="D52" s="75">
        <f>GRAL.!$AG$52</f>
        <v>0</v>
      </c>
      <c r="E52" s="75" t="e">
        <f>GRAL.!$AH$52</f>
        <v>#DIV/0!</v>
      </c>
      <c r="F52" s="18"/>
      <c r="G52" s="73"/>
      <c r="H52" s="18"/>
      <c r="I52" s="18"/>
      <c r="J52" s="18"/>
      <c r="K52" s="18"/>
      <c r="L52" s="18"/>
      <c r="M52" s="18"/>
      <c r="N52" s="18"/>
      <c r="O52" s="18"/>
      <c r="P52" s="18"/>
      <c r="Q52" s="18"/>
      <c r="R52" s="18"/>
      <c r="S52" s="18"/>
      <c r="T52" s="18"/>
      <c r="U52" s="18"/>
      <c r="V52" s="63"/>
      <c r="W52" s="73"/>
      <c r="X52" s="114" t="s">
        <v>19</v>
      </c>
      <c r="Y52" s="112">
        <f>GRAL.!$AG$48</f>
        <v>0</v>
      </c>
      <c r="Z52" s="75">
        <f>GRAL.!$AH$48</f>
        <v>0</v>
      </c>
    </row>
    <row r="53" spans="1:26">
      <c r="A53" s="18"/>
      <c r="B53" s="18"/>
      <c r="C53" s="18"/>
      <c r="D53" s="18"/>
      <c r="E53" s="18"/>
      <c r="F53" s="18"/>
      <c r="G53" s="18"/>
      <c r="H53" s="18"/>
      <c r="I53" s="18"/>
      <c r="J53" s="18"/>
      <c r="K53" s="18"/>
      <c r="L53" s="18"/>
      <c r="M53" s="18"/>
      <c r="N53" s="18"/>
      <c r="O53" s="18"/>
      <c r="P53" s="18"/>
      <c r="Q53" s="18"/>
      <c r="R53" s="18"/>
      <c r="S53" s="18"/>
      <c r="T53" s="18"/>
      <c r="U53" s="18"/>
      <c r="V53" s="18"/>
      <c r="W53" s="18"/>
      <c r="X53" s="18"/>
      <c r="Y53" s="18"/>
    </row>
    <row r="54" spans="1:26">
      <c r="A54" s="18"/>
      <c r="B54" s="18"/>
      <c r="C54" s="18"/>
      <c r="D54" s="18"/>
      <c r="E54" s="18"/>
      <c r="F54" s="18"/>
      <c r="G54" s="18"/>
      <c r="H54" s="18"/>
      <c r="I54" s="18"/>
      <c r="J54" s="18"/>
      <c r="K54" s="18"/>
      <c r="L54" s="18"/>
      <c r="M54" s="18"/>
      <c r="N54" s="18"/>
      <c r="O54" s="18"/>
      <c r="P54" s="18"/>
      <c r="Q54" s="18"/>
      <c r="R54" s="18"/>
      <c r="S54" s="18"/>
      <c r="T54" s="18"/>
      <c r="U54" s="18"/>
      <c r="V54" s="18"/>
      <c r="W54" s="18"/>
      <c r="X54" s="18"/>
      <c r="Y54" s="18"/>
    </row>
    <row r="55" spans="1:26">
      <c r="A55" s="18"/>
      <c r="B55" s="18"/>
      <c r="C55" s="18"/>
      <c r="D55" s="18"/>
      <c r="E55" s="18"/>
      <c r="F55" s="18"/>
      <c r="G55" s="18"/>
      <c r="H55" s="18"/>
      <c r="I55" s="18"/>
      <c r="J55" s="18"/>
      <c r="K55" s="18"/>
      <c r="L55" s="18"/>
      <c r="M55" s="18"/>
      <c r="N55" s="18"/>
      <c r="O55" s="18"/>
      <c r="P55" s="18"/>
      <c r="Q55" s="18"/>
      <c r="R55" s="18"/>
      <c r="S55" s="18"/>
      <c r="T55" s="18"/>
      <c r="U55" s="18"/>
      <c r="V55" s="18"/>
      <c r="W55" s="18"/>
      <c r="X55" s="18"/>
      <c r="Y55" s="18"/>
    </row>
    <row r="56" spans="1:26">
      <c r="A56" s="18"/>
      <c r="B56" s="18"/>
      <c r="C56" s="18"/>
      <c r="D56" s="18"/>
      <c r="E56" s="18"/>
      <c r="F56" s="18"/>
      <c r="G56" s="18"/>
      <c r="H56" s="18"/>
      <c r="I56" s="18"/>
      <c r="J56" s="18"/>
      <c r="K56" s="18"/>
      <c r="L56" s="18"/>
      <c r="M56" s="18"/>
      <c r="N56" s="18"/>
      <c r="O56" s="18"/>
      <c r="P56" s="18"/>
      <c r="Q56" s="18"/>
      <c r="R56" s="18"/>
      <c r="S56" s="18"/>
      <c r="T56" s="18"/>
      <c r="U56" s="18"/>
      <c r="V56" s="18"/>
      <c r="W56" s="18"/>
      <c r="X56" s="18"/>
      <c r="Y56" s="18"/>
    </row>
    <row r="57" spans="1:26">
      <c r="A57" s="18"/>
      <c r="B57" s="18"/>
      <c r="C57" s="18"/>
      <c r="D57" s="18"/>
      <c r="E57" s="18"/>
      <c r="F57" s="18"/>
      <c r="G57" s="18"/>
      <c r="H57" s="18"/>
      <c r="I57" s="18"/>
      <c r="J57" s="18"/>
      <c r="K57" s="18"/>
      <c r="L57" s="18"/>
      <c r="M57" s="18"/>
      <c r="N57" s="18"/>
      <c r="O57" s="18"/>
      <c r="P57" s="18"/>
      <c r="Q57" s="18"/>
      <c r="R57" s="18"/>
      <c r="S57" s="18"/>
      <c r="T57" s="18"/>
      <c r="U57" s="18"/>
      <c r="V57" s="18"/>
      <c r="W57" s="18"/>
      <c r="X57" s="18"/>
      <c r="Y57" s="18"/>
    </row>
    <row r="58" spans="1:26">
      <c r="A58" s="18"/>
      <c r="B58" s="18"/>
      <c r="C58" s="18"/>
      <c r="D58" s="18"/>
      <c r="E58" s="18"/>
      <c r="F58" s="18"/>
      <c r="G58" s="18"/>
      <c r="H58" s="18"/>
      <c r="I58" s="18"/>
      <c r="J58" s="18"/>
      <c r="K58" s="18"/>
      <c r="L58" s="18"/>
      <c r="M58" s="18"/>
      <c r="N58" s="18"/>
      <c r="O58" s="18"/>
      <c r="P58" s="18"/>
      <c r="Q58" s="18"/>
      <c r="R58" s="18"/>
      <c r="S58" s="18"/>
      <c r="T58" s="18"/>
      <c r="U58" s="18"/>
      <c r="V58" s="18"/>
      <c r="W58" s="18"/>
      <c r="X58" s="18"/>
      <c r="Y58" s="18"/>
    </row>
    <row r="59" spans="1:26">
      <c r="A59" s="18"/>
      <c r="B59" s="18"/>
      <c r="C59" s="18"/>
      <c r="D59" s="18"/>
      <c r="E59" s="18"/>
      <c r="F59" s="18"/>
      <c r="G59" s="18"/>
      <c r="H59" s="18"/>
      <c r="I59" s="18"/>
      <c r="J59" s="18"/>
      <c r="K59" s="18"/>
      <c r="L59" s="18"/>
      <c r="M59" s="18"/>
      <c r="N59" s="18"/>
      <c r="O59" s="18"/>
      <c r="P59" s="18"/>
      <c r="Q59" s="18"/>
      <c r="R59" s="18"/>
      <c r="S59" s="18"/>
      <c r="T59" s="18"/>
      <c r="U59" s="18"/>
      <c r="V59" s="18"/>
      <c r="W59" s="18"/>
      <c r="X59" s="18"/>
      <c r="Y59" s="18"/>
    </row>
    <row r="60" spans="1:26">
      <c r="A60" s="18"/>
      <c r="B60" s="18"/>
      <c r="C60" s="18"/>
      <c r="D60" s="18"/>
      <c r="E60" s="18"/>
      <c r="F60" s="18"/>
      <c r="G60" s="18"/>
      <c r="H60" s="18"/>
      <c r="I60" s="18"/>
      <c r="J60" s="18"/>
      <c r="K60" s="18"/>
      <c r="L60" s="18"/>
      <c r="M60" s="18"/>
      <c r="N60" s="18"/>
      <c r="O60" s="18"/>
      <c r="P60" s="18"/>
      <c r="Q60" s="18"/>
      <c r="R60" s="18"/>
      <c r="S60" s="18"/>
      <c r="T60" s="18"/>
      <c r="U60" s="18"/>
      <c r="V60" s="18"/>
      <c r="W60" s="18"/>
      <c r="X60" s="18"/>
      <c r="Y60" s="18"/>
    </row>
    <row r="61" spans="1:26">
      <c r="A61" s="18"/>
      <c r="B61" s="18"/>
      <c r="C61" s="18"/>
      <c r="D61" s="18"/>
      <c r="E61" s="18"/>
      <c r="F61" s="18"/>
      <c r="G61" s="18"/>
      <c r="H61" s="18"/>
      <c r="I61" s="18"/>
      <c r="J61" s="18"/>
      <c r="K61" s="18"/>
      <c r="L61" s="18"/>
      <c r="M61" s="18"/>
      <c r="N61" s="18"/>
      <c r="O61" s="18"/>
      <c r="P61" s="18"/>
      <c r="Q61" s="18"/>
      <c r="R61" s="18"/>
      <c r="S61" s="18"/>
      <c r="T61" s="18"/>
      <c r="U61" s="18"/>
      <c r="V61" s="18"/>
      <c r="W61" s="18"/>
      <c r="X61" s="18"/>
      <c r="Y61" s="18"/>
    </row>
    <row r="62" spans="1:26">
      <c r="A62" s="18"/>
      <c r="B62" s="18"/>
      <c r="C62" s="18"/>
      <c r="D62" s="18"/>
      <c r="E62" s="18"/>
      <c r="F62" s="18"/>
      <c r="G62" s="18"/>
      <c r="H62" s="18"/>
      <c r="I62" s="18"/>
      <c r="J62" s="18"/>
      <c r="K62" s="18"/>
      <c r="L62" s="18"/>
      <c r="M62" s="18"/>
      <c r="N62" s="18"/>
      <c r="O62" s="18"/>
      <c r="P62" s="18"/>
      <c r="Q62" s="18"/>
      <c r="R62" s="18"/>
      <c r="S62" s="18"/>
      <c r="T62" s="18"/>
      <c r="U62" s="18"/>
      <c r="V62" s="18"/>
      <c r="W62" s="18"/>
      <c r="X62" s="18"/>
      <c r="Y62" s="18"/>
    </row>
    <row r="63" spans="1:26">
      <c r="A63" s="18"/>
      <c r="B63" s="18"/>
      <c r="C63" s="18"/>
      <c r="D63" s="18"/>
      <c r="E63" s="18"/>
      <c r="F63" s="18"/>
      <c r="G63" s="18"/>
      <c r="H63" s="18"/>
      <c r="I63" s="18"/>
      <c r="J63" s="18"/>
      <c r="K63" s="18"/>
      <c r="L63" s="18"/>
      <c r="M63" s="18"/>
      <c r="N63" s="18"/>
      <c r="O63" s="18"/>
      <c r="P63" s="18"/>
      <c r="Q63" s="18"/>
      <c r="R63" s="18"/>
      <c r="S63" s="18"/>
      <c r="T63" s="18"/>
      <c r="U63" s="18"/>
      <c r="V63" s="18"/>
      <c r="W63" s="18"/>
      <c r="X63" s="18"/>
      <c r="Y63" s="18"/>
    </row>
    <row r="64" spans="1:26">
      <c r="A64" s="18"/>
      <c r="B64" s="18"/>
      <c r="C64" s="18"/>
      <c r="D64" s="18"/>
      <c r="E64" s="18"/>
      <c r="F64" s="18"/>
      <c r="G64" s="18"/>
      <c r="H64" s="18"/>
      <c r="I64" s="18"/>
      <c r="J64" s="18"/>
      <c r="K64" s="18"/>
      <c r="L64" s="18"/>
      <c r="M64" s="18"/>
      <c r="N64" s="18"/>
      <c r="O64" s="18"/>
      <c r="P64" s="18"/>
      <c r="Q64" s="18"/>
      <c r="R64" s="18"/>
      <c r="S64" s="18"/>
      <c r="T64" s="18"/>
      <c r="U64" s="18"/>
      <c r="V64" s="18"/>
      <c r="W64" s="18"/>
      <c r="X64" s="18"/>
      <c r="Y64" s="18"/>
    </row>
    <row r="65" spans="1:30">
      <c r="A65" s="18"/>
      <c r="B65" s="18"/>
      <c r="C65" s="18"/>
      <c r="D65" s="18"/>
      <c r="E65" s="18"/>
      <c r="F65" s="18"/>
      <c r="G65" s="18"/>
      <c r="H65" s="18"/>
      <c r="I65" s="18"/>
      <c r="J65" s="18"/>
      <c r="K65" s="18"/>
      <c r="L65" s="18"/>
      <c r="M65" s="18"/>
      <c r="N65" s="18"/>
      <c r="O65" s="18"/>
      <c r="P65" s="18"/>
      <c r="Q65" s="18"/>
      <c r="R65" s="18"/>
      <c r="S65" s="18"/>
      <c r="T65" s="18"/>
      <c r="U65" s="18"/>
      <c r="V65" s="18"/>
      <c r="W65" s="18"/>
      <c r="X65" s="18"/>
      <c r="Y65" s="18"/>
    </row>
    <row r="66" spans="1:30">
      <c r="A66" s="18"/>
      <c r="B66" s="18"/>
      <c r="C66" s="18"/>
      <c r="D66" s="18"/>
      <c r="E66" s="18"/>
      <c r="F66" s="18"/>
      <c r="G66" s="18"/>
      <c r="H66" s="18"/>
      <c r="I66" s="18"/>
      <c r="J66" s="18"/>
      <c r="K66" s="18"/>
      <c r="L66" s="18"/>
      <c r="M66" s="18"/>
      <c r="N66" s="18"/>
      <c r="O66" s="18"/>
      <c r="P66" s="18"/>
      <c r="Q66" s="18"/>
      <c r="R66" s="18"/>
      <c r="S66" s="18"/>
      <c r="T66" s="18"/>
      <c r="U66" s="18"/>
      <c r="V66" s="18"/>
      <c r="W66" s="18"/>
      <c r="X66" s="18"/>
      <c r="Y66" s="18"/>
    </row>
    <row r="67" spans="1:30">
      <c r="A67" s="18"/>
      <c r="B67" s="18"/>
      <c r="C67" s="18"/>
      <c r="D67" s="18"/>
      <c r="E67" s="18"/>
      <c r="F67" s="18"/>
      <c r="G67" s="18"/>
      <c r="H67" s="18"/>
      <c r="I67" s="18"/>
      <c r="J67" s="18"/>
      <c r="K67" s="18"/>
      <c r="L67" s="18"/>
      <c r="M67" s="18"/>
      <c r="N67" s="18"/>
      <c r="O67" s="18"/>
      <c r="P67" s="18"/>
      <c r="Q67" s="18"/>
      <c r="R67" s="18"/>
      <c r="S67" s="18"/>
      <c r="T67" s="18"/>
      <c r="U67" s="18"/>
      <c r="V67" s="18"/>
      <c r="W67" s="18"/>
      <c r="X67" s="18"/>
      <c r="Y67" s="18"/>
    </row>
    <row r="68" spans="1:30">
      <c r="A68" s="18"/>
      <c r="B68" s="18"/>
      <c r="C68" s="18"/>
      <c r="D68" s="18"/>
      <c r="E68" s="18"/>
      <c r="F68" s="18"/>
      <c r="G68" s="18"/>
      <c r="H68" s="18"/>
      <c r="I68" s="18"/>
      <c r="J68" s="18"/>
      <c r="K68" s="18"/>
      <c r="L68" s="18"/>
      <c r="M68" s="18"/>
      <c r="N68" s="18"/>
      <c r="O68" s="18"/>
      <c r="P68" s="18"/>
      <c r="Q68" s="18"/>
      <c r="R68" s="18"/>
      <c r="S68" s="18"/>
      <c r="T68" s="18"/>
      <c r="U68" s="18"/>
      <c r="V68" s="18"/>
      <c r="W68" s="18"/>
      <c r="X68" s="18"/>
      <c r="Y68" s="18"/>
    </row>
    <row r="69" spans="1:30">
      <c r="A69" s="18"/>
      <c r="B69" s="18"/>
      <c r="C69" s="18"/>
      <c r="D69" s="18"/>
      <c r="E69" s="18"/>
      <c r="F69" s="18"/>
      <c r="G69" s="18"/>
      <c r="H69" s="18"/>
      <c r="I69" s="18"/>
      <c r="J69" s="18"/>
      <c r="K69" s="18"/>
      <c r="L69" s="18"/>
      <c r="M69" s="18"/>
      <c r="N69" s="18"/>
      <c r="O69" s="18"/>
      <c r="P69" s="18"/>
      <c r="Q69" s="18"/>
      <c r="R69" s="18"/>
      <c r="S69" s="18"/>
      <c r="T69" s="18"/>
      <c r="U69" s="18"/>
      <c r="V69" s="18"/>
      <c r="W69" s="18"/>
      <c r="X69" s="18"/>
      <c r="Y69" s="18"/>
    </row>
    <row r="70" spans="1:30">
      <c r="A70" s="18"/>
      <c r="B70" s="18"/>
      <c r="C70" s="18"/>
      <c r="D70" s="18"/>
      <c r="E70" s="18"/>
      <c r="F70" s="18"/>
      <c r="G70" s="18"/>
      <c r="H70" s="18"/>
      <c r="I70" s="18"/>
      <c r="J70" s="18"/>
      <c r="K70" s="18"/>
      <c r="L70" s="18"/>
      <c r="M70" s="18"/>
      <c r="N70" s="18"/>
      <c r="O70" s="18"/>
      <c r="P70" s="18"/>
      <c r="Q70" s="18"/>
      <c r="R70" s="18"/>
      <c r="S70" s="18"/>
      <c r="T70" s="18"/>
      <c r="U70" s="18"/>
      <c r="V70" s="18"/>
      <c r="W70" s="18"/>
      <c r="X70" s="18"/>
      <c r="Y70" s="18"/>
    </row>
    <row r="71" spans="1:30">
      <c r="A71" s="18"/>
      <c r="B71" s="18"/>
      <c r="C71" s="18"/>
      <c r="D71" s="18"/>
      <c r="E71" s="18"/>
      <c r="F71" s="18"/>
      <c r="G71" s="18"/>
      <c r="H71" s="18"/>
      <c r="I71" s="18"/>
      <c r="J71" s="18"/>
      <c r="K71" s="18"/>
      <c r="L71" s="18"/>
      <c r="M71" s="18"/>
      <c r="N71" s="18"/>
      <c r="O71" s="18"/>
      <c r="P71" s="18"/>
      <c r="Q71" s="18"/>
      <c r="R71" s="18"/>
      <c r="S71" s="18"/>
      <c r="T71" s="18"/>
      <c r="U71" s="18"/>
      <c r="V71" s="18"/>
      <c r="W71" s="18"/>
      <c r="X71" s="18"/>
      <c r="Y71" s="18"/>
    </row>
    <row r="72" spans="1:30" ht="22.5" customHeight="1">
      <c r="A72" s="18"/>
      <c r="B72" s="18"/>
      <c r="C72" s="18"/>
      <c r="D72" s="18"/>
      <c r="E72" s="18"/>
      <c r="F72" s="18"/>
      <c r="G72" s="18"/>
      <c r="H72" s="358" t="s">
        <v>26</v>
      </c>
      <c r="I72" s="358"/>
      <c r="J72" s="358"/>
      <c r="K72" s="358"/>
      <c r="L72" s="358"/>
      <c r="M72" s="358"/>
      <c r="N72" s="358"/>
      <c r="O72" s="358"/>
      <c r="P72" s="358"/>
      <c r="Q72" s="357" t="str">
        <f>NOMINA!$B$2</f>
        <v>CURSO 2A</v>
      </c>
      <c r="R72" s="357"/>
      <c r="S72" s="357"/>
      <c r="T72" s="77"/>
      <c r="U72" s="359" t="s">
        <v>31</v>
      </c>
      <c r="V72" s="359"/>
      <c r="W72" s="359"/>
      <c r="X72" s="18"/>
      <c r="Y72" s="18"/>
      <c r="Z72" s="18"/>
      <c r="AA72" s="356"/>
      <c r="AB72" s="356"/>
      <c r="AC72" s="356"/>
      <c r="AD72" s="63"/>
    </row>
    <row r="73" spans="1:30" ht="15.75" customHeight="1">
      <c r="A73" s="18"/>
      <c r="B73" s="78"/>
      <c r="C73" s="78"/>
      <c r="D73" s="78"/>
      <c r="E73" s="78"/>
      <c r="F73" s="78"/>
      <c r="G73" s="78"/>
      <c r="H73" s="78"/>
      <c r="I73" s="78"/>
      <c r="J73" s="78"/>
      <c r="K73" s="79"/>
      <c r="L73" s="79"/>
      <c r="M73" s="79"/>
      <c r="N73" s="77"/>
      <c r="O73" s="18"/>
      <c r="P73" s="82"/>
      <c r="Q73" s="82"/>
      <c r="R73" s="82"/>
      <c r="S73" s="18"/>
      <c r="T73" s="18"/>
      <c r="U73" s="18"/>
      <c r="V73" s="108"/>
      <c r="W73" s="108"/>
      <c r="X73" s="108"/>
      <c r="Y73" s="63"/>
    </row>
    <row r="74" spans="1:30" ht="15.75" thickBot="1">
      <c r="A74" s="18"/>
      <c r="B74" s="18"/>
      <c r="C74" s="118" t="s">
        <v>71</v>
      </c>
      <c r="D74" s="18"/>
      <c r="E74" s="18"/>
      <c r="F74" s="18"/>
      <c r="G74" s="18"/>
      <c r="H74" s="18"/>
      <c r="I74" s="18"/>
      <c r="J74" s="18"/>
      <c r="K74" s="18"/>
      <c r="L74" s="18"/>
      <c r="M74" s="18"/>
      <c r="N74" s="18"/>
      <c r="O74" s="18"/>
      <c r="P74" s="18"/>
      <c r="Q74" s="18"/>
      <c r="R74" s="18"/>
      <c r="S74" s="18"/>
      <c r="T74" s="18"/>
      <c r="U74" s="18"/>
      <c r="V74" s="18"/>
      <c r="W74" s="18"/>
      <c r="X74" s="118" t="s">
        <v>72</v>
      </c>
      <c r="Y74" s="18"/>
    </row>
    <row r="75" spans="1:30" ht="15.75" thickBot="1">
      <c r="A75" s="18"/>
      <c r="B75" s="64"/>
      <c r="C75" s="68"/>
      <c r="D75" s="66" t="s">
        <v>25</v>
      </c>
      <c r="E75" s="67" t="s">
        <v>24</v>
      </c>
      <c r="F75" s="18"/>
      <c r="G75" s="18"/>
      <c r="H75" s="18"/>
      <c r="I75" s="18"/>
      <c r="J75" s="18"/>
      <c r="K75" s="18"/>
      <c r="L75" s="18"/>
      <c r="M75" s="18"/>
      <c r="N75" s="18"/>
      <c r="O75" s="18"/>
      <c r="P75" s="18"/>
      <c r="Q75" s="18"/>
      <c r="R75" s="18"/>
      <c r="S75" s="18"/>
      <c r="T75" s="18"/>
      <c r="U75" s="18"/>
      <c r="V75" s="18"/>
      <c r="W75" s="107"/>
      <c r="X75" s="80"/>
      <c r="Y75" s="110" t="s">
        <v>25</v>
      </c>
      <c r="Z75" s="67" t="s">
        <v>24</v>
      </c>
    </row>
    <row r="76" spans="1:30" ht="15.75" thickBot="1">
      <c r="A76" s="18"/>
      <c r="B76" s="80">
        <v>1</v>
      </c>
      <c r="C76" s="70" t="s">
        <v>15</v>
      </c>
      <c r="D76" s="72">
        <f>ANUAL!$C$51</f>
        <v>100</v>
      </c>
      <c r="E76" s="72">
        <f>ANUAL!$C$50</f>
        <v>0</v>
      </c>
      <c r="F76" s="18"/>
      <c r="G76" s="73"/>
      <c r="H76" s="18"/>
      <c r="I76" s="18"/>
      <c r="J76" s="18"/>
      <c r="K76" s="18"/>
      <c r="L76" s="18"/>
      <c r="M76" s="18"/>
      <c r="N76" s="18"/>
      <c r="O76" s="18"/>
      <c r="P76" s="18"/>
      <c r="Q76" s="18"/>
      <c r="R76" s="18"/>
      <c r="S76" s="18"/>
      <c r="T76" s="18"/>
      <c r="U76" s="18"/>
      <c r="V76" s="63"/>
      <c r="W76" s="73"/>
      <c r="X76" s="116" t="s">
        <v>15</v>
      </c>
      <c r="Y76" s="72">
        <f>ANUAL!$C$47</f>
        <v>35</v>
      </c>
      <c r="Z76" s="72">
        <f>ANUAL!$C$46</f>
        <v>0</v>
      </c>
    </row>
    <row r="77" spans="1:30" ht="15.75" thickBot="1">
      <c r="A77" s="18"/>
      <c r="B77" s="81">
        <v>2</v>
      </c>
      <c r="C77" s="74" t="s">
        <v>16</v>
      </c>
      <c r="D77" s="72">
        <f>ANUAL!$D$51</f>
        <v>100</v>
      </c>
      <c r="E77" s="72">
        <f>ANUAL!$D$50</f>
        <v>0</v>
      </c>
      <c r="F77" s="18"/>
      <c r="G77" s="73"/>
      <c r="H77" s="18"/>
      <c r="I77" s="18"/>
      <c r="J77" s="18"/>
      <c r="K77" s="18"/>
      <c r="L77" s="18"/>
      <c r="M77" s="18"/>
      <c r="N77" s="18"/>
      <c r="O77" s="18"/>
      <c r="P77" s="18"/>
      <c r="Q77" s="18"/>
      <c r="R77" s="18"/>
      <c r="S77" s="18"/>
      <c r="T77" s="18"/>
      <c r="U77" s="18"/>
      <c r="V77" s="63"/>
      <c r="W77" s="73"/>
      <c r="X77" s="115" t="s">
        <v>16</v>
      </c>
      <c r="Y77" s="72">
        <f>ANUAL!$D$47</f>
        <v>35</v>
      </c>
      <c r="Z77" s="72">
        <f>ANUAL!$D$46</f>
        <v>0</v>
      </c>
    </row>
    <row r="78" spans="1:30" ht="15.75" thickBot="1">
      <c r="A78" s="18"/>
      <c r="B78" s="80">
        <v>3</v>
      </c>
      <c r="C78" s="74" t="s">
        <v>68</v>
      </c>
      <c r="D78" s="72">
        <f>ANUAL!$E$51</f>
        <v>100</v>
      </c>
      <c r="E78" s="72">
        <f>ANUAL!$E$50</f>
        <v>0</v>
      </c>
      <c r="F78" s="18"/>
      <c r="G78" s="73"/>
      <c r="H78" s="18"/>
      <c r="I78" s="18"/>
      <c r="J78" s="18"/>
      <c r="K78" s="18"/>
      <c r="L78" s="18"/>
      <c r="M78" s="18"/>
      <c r="N78" s="18"/>
      <c r="O78" s="18"/>
      <c r="P78" s="18"/>
      <c r="Q78" s="18"/>
      <c r="R78" s="18"/>
      <c r="S78" s="18"/>
      <c r="T78" s="18"/>
      <c r="U78" s="18"/>
      <c r="V78" s="63"/>
      <c r="W78" s="73"/>
      <c r="X78" s="115" t="s">
        <v>68</v>
      </c>
      <c r="Y78" s="72">
        <f>ANUAL!$E$47</f>
        <v>35</v>
      </c>
      <c r="Z78" s="72">
        <f>ANUAL!$E$46</f>
        <v>0</v>
      </c>
    </row>
    <row r="79" spans="1:30" ht="15.75" thickBot="1">
      <c r="A79" s="18"/>
      <c r="B79" s="81">
        <v>4</v>
      </c>
      <c r="C79" s="74" t="s">
        <v>17</v>
      </c>
      <c r="D79" s="72">
        <f>ANUAL!$F$51</f>
        <v>100</v>
      </c>
      <c r="E79" s="72">
        <f>ANUAL!$F$50</f>
        <v>0</v>
      </c>
      <c r="F79" s="18"/>
      <c r="G79" s="73"/>
      <c r="H79" s="18"/>
      <c r="I79" s="18"/>
      <c r="J79" s="18"/>
      <c r="K79" s="18"/>
      <c r="L79" s="18"/>
      <c r="M79" s="18"/>
      <c r="N79" s="18"/>
      <c r="O79" s="18"/>
      <c r="P79" s="18"/>
      <c r="Q79" s="18"/>
      <c r="R79" s="18"/>
      <c r="S79" s="18"/>
      <c r="T79" s="18"/>
      <c r="U79" s="18"/>
      <c r="V79" s="63"/>
      <c r="W79" s="73"/>
      <c r="X79" s="115" t="s">
        <v>17</v>
      </c>
      <c r="Y79" s="72">
        <f>ANUAL!$F$47</f>
        <v>35</v>
      </c>
      <c r="Z79" s="72">
        <f>ANUAL!$F$46</f>
        <v>0</v>
      </c>
    </row>
    <row r="80" spans="1:30" ht="15.75" thickBot="1">
      <c r="A80" s="18"/>
      <c r="B80" s="80">
        <v>5</v>
      </c>
      <c r="C80" s="74" t="s">
        <v>18</v>
      </c>
      <c r="D80" s="72">
        <f>ANUAL!$G$51</f>
        <v>100</v>
      </c>
      <c r="E80" s="72">
        <f>ANUAL!$G$50</f>
        <v>0</v>
      </c>
      <c r="F80" s="18"/>
      <c r="G80" s="73"/>
      <c r="H80" s="18"/>
      <c r="I80" s="18"/>
      <c r="J80" s="18"/>
      <c r="K80" s="18"/>
      <c r="L80" s="18"/>
      <c r="M80" s="18"/>
      <c r="N80" s="18"/>
      <c r="O80" s="18"/>
      <c r="P80" s="18"/>
      <c r="Q80" s="18"/>
      <c r="R80" s="18"/>
      <c r="S80" s="18"/>
      <c r="T80" s="18"/>
      <c r="U80" s="18"/>
      <c r="V80" s="63"/>
      <c r="W80" s="73"/>
      <c r="X80" s="115" t="s">
        <v>18</v>
      </c>
      <c r="Y80" s="72">
        <f>ANUAL!$G$47</f>
        <v>35</v>
      </c>
      <c r="Z80" s="72">
        <f>ANUAL!$G$46</f>
        <v>0</v>
      </c>
    </row>
    <row r="81" spans="1:26" ht="15.75" thickBot="1">
      <c r="A81" s="18"/>
      <c r="B81" s="81">
        <v>6</v>
      </c>
      <c r="C81" s="74" t="s">
        <v>40</v>
      </c>
      <c r="D81" s="72">
        <f>ANUAL!$H$51</f>
        <v>100</v>
      </c>
      <c r="E81" s="72">
        <f>ANUAL!$H$50</f>
        <v>0</v>
      </c>
      <c r="F81" s="18"/>
      <c r="G81" s="73"/>
      <c r="H81" s="18"/>
      <c r="I81" s="18"/>
      <c r="J81" s="18"/>
      <c r="K81" s="18"/>
      <c r="L81" s="18"/>
      <c r="M81" s="18"/>
      <c r="N81" s="18"/>
      <c r="O81" s="18"/>
      <c r="P81" s="18"/>
      <c r="Q81" s="18"/>
      <c r="R81" s="18"/>
      <c r="S81" s="18"/>
      <c r="T81" s="18"/>
      <c r="U81" s="18"/>
      <c r="V81" s="63"/>
      <c r="W81" s="73"/>
      <c r="X81" s="115" t="s">
        <v>40</v>
      </c>
      <c r="Y81" s="72">
        <f>ANUAL!$H$47</f>
        <v>35</v>
      </c>
      <c r="Z81" s="72">
        <f>ANUAL!$H$46</f>
        <v>0</v>
      </c>
    </row>
    <row r="82" spans="1:26" ht="15.75" thickBot="1">
      <c r="A82" s="18"/>
      <c r="B82" s="80">
        <v>7</v>
      </c>
      <c r="C82" s="74" t="s">
        <v>14</v>
      </c>
      <c r="D82" s="72">
        <f>ANUAL!$I$51</f>
        <v>100</v>
      </c>
      <c r="E82" s="72">
        <f>ANUAL!$I$50</f>
        <v>0</v>
      </c>
      <c r="F82" s="18"/>
      <c r="G82" s="73"/>
      <c r="H82" s="18"/>
      <c r="I82" s="18"/>
      <c r="J82" s="18"/>
      <c r="K82" s="18"/>
      <c r="L82" s="18"/>
      <c r="M82" s="18"/>
      <c r="N82" s="18"/>
      <c r="O82" s="18"/>
      <c r="P82" s="18"/>
      <c r="Q82" s="18"/>
      <c r="R82" s="18"/>
      <c r="S82" s="18"/>
      <c r="T82" s="18"/>
      <c r="U82" s="18"/>
      <c r="V82" s="63"/>
      <c r="W82" s="73"/>
      <c r="X82" s="115" t="s">
        <v>14</v>
      </c>
      <c r="Y82" s="72">
        <f>ANUAL!$I$47</f>
        <v>35</v>
      </c>
      <c r="Z82" s="72">
        <f>ANUAL!$I$46</f>
        <v>0</v>
      </c>
    </row>
    <row r="83" spans="1:26" ht="15.75" thickBot="1">
      <c r="A83" s="18"/>
      <c r="B83" s="81">
        <v>8</v>
      </c>
      <c r="C83" s="74" t="s">
        <v>105</v>
      </c>
      <c r="D83" s="72">
        <f>ANUAL!$J$51</f>
        <v>100</v>
      </c>
      <c r="E83" s="72">
        <f>ANUAL!$J$50</f>
        <v>0</v>
      </c>
      <c r="F83" s="18"/>
      <c r="G83" s="73"/>
      <c r="H83" s="18"/>
      <c r="I83" s="18"/>
      <c r="J83" s="18"/>
      <c r="K83" s="18"/>
      <c r="L83" s="18"/>
      <c r="M83" s="18"/>
      <c r="N83" s="18"/>
      <c r="O83" s="18"/>
      <c r="P83" s="18"/>
      <c r="Q83" s="18"/>
      <c r="R83" s="18"/>
      <c r="S83" s="18"/>
      <c r="T83" s="18"/>
      <c r="U83" s="18"/>
      <c r="V83" s="63"/>
      <c r="W83" s="73"/>
      <c r="X83" s="115" t="s">
        <v>105</v>
      </c>
      <c r="Y83" s="72">
        <f>ANUAL!$J$47</f>
        <v>35</v>
      </c>
      <c r="Z83" s="72">
        <f>ANUAL!$J$46</f>
        <v>0</v>
      </c>
    </row>
    <row r="84" spans="1:26" ht="15.75" thickBot="1">
      <c r="A84" s="18"/>
      <c r="B84" s="80">
        <v>9</v>
      </c>
      <c r="C84" s="74" t="s">
        <v>48</v>
      </c>
      <c r="D84" s="72">
        <f>ANUAL!$K$51</f>
        <v>100</v>
      </c>
      <c r="E84" s="72">
        <f>ANUAL!$K$50</f>
        <v>0</v>
      </c>
      <c r="F84" s="18"/>
      <c r="G84" s="73"/>
      <c r="H84" s="18"/>
      <c r="I84" s="18"/>
      <c r="J84" s="18"/>
      <c r="K84" s="18"/>
      <c r="L84" s="18"/>
      <c r="M84" s="18"/>
      <c r="N84" s="18"/>
      <c r="O84" s="18"/>
      <c r="P84" s="18"/>
      <c r="Q84" s="18"/>
      <c r="R84" s="18"/>
      <c r="S84" s="18"/>
      <c r="T84" s="18"/>
      <c r="U84" s="18"/>
      <c r="V84" s="63"/>
      <c r="W84" s="73"/>
      <c r="X84" s="115" t="s">
        <v>48</v>
      </c>
      <c r="Y84" s="72">
        <f>ANUAL!$K$47</f>
        <v>35</v>
      </c>
      <c r="Z84" s="72">
        <f>ANUAL!$K$46</f>
        <v>0</v>
      </c>
    </row>
    <row r="85" spans="1:26" ht="15.75" thickBot="1">
      <c r="A85" s="18"/>
      <c r="B85" s="80">
        <v>11</v>
      </c>
      <c r="C85" s="74" t="s">
        <v>57</v>
      </c>
      <c r="D85" s="72">
        <f>ANUAL!$L$51</f>
        <v>100</v>
      </c>
      <c r="E85" s="72">
        <f>ANUAL!$L$50</f>
        <v>0</v>
      </c>
      <c r="F85" s="18"/>
      <c r="G85" s="73"/>
      <c r="H85" s="18"/>
      <c r="I85" s="18"/>
      <c r="J85" s="18"/>
      <c r="K85" s="18"/>
      <c r="L85" s="18"/>
      <c r="M85" s="18"/>
      <c r="N85" s="18"/>
      <c r="O85" s="18"/>
      <c r="P85" s="18"/>
      <c r="Q85" s="18"/>
      <c r="R85" s="18"/>
      <c r="S85" s="18"/>
      <c r="T85" s="18"/>
      <c r="U85" s="18"/>
      <c r="V85" s="63"/>
      <c r="W85" s="73"/>
      <c r="X85" s="115" t="s">
        <v>57</v>
      </c>
      <c r="Y85" s="72">
        <f>ANUAL!$L$47</f>
        <v>35</v>
      </c>
      <c r="Z85" s="72">
        <f>ANUAL!$L$46</f>
        <v>0</v>
      </c>
    </row>
    <row r="86" spans="1:26">
      <c r="A86" s="18"/>
      <c r="B86" s="81">
        <v>12</v>
      </c>
      <c r="C86" s="74" t="s">
        <v>19</v>
      </c>
      <c r="D86" s="72">
        <f>ANUAL!$M$51</f>
        <v>100</v>
      </c>
      <c r="E86" s="72">
        <f>ANUAL!$M$50</f>
        <v>0</v>
      </c>
      <c r="F86" s="18"/>
      <c r="G86" s="73"/>
      <c r="H86" s="18"/>
      <c r="I86" s="18"/>
      <c r="J86" s="18"/>
      <c r="K86" s="18"/>
      <c r="L86" s="18"/>
      <c r="M86" s="18"/>
      <c r="N86" s="18"/>
      <c r="O86" s="18"/>
      <c r="P86" s="18"/>
      <c r="Q86" s="18"/>
      <c r="R86" s="18"/>
      <c r="S86" s="18"/>
      <c r="T86" s="18"/>
      <c r="U86" s="18"/>
      <c r="V86" s="63"/>
      <c r="W86" s="73"/>
      <c r="X86" s="115" t="s">
        <v>19</v>
      </c>
      <c r="Y86" s="72">
        <f>ANUAL!$M$47</f>
        <v>35</v>
      </c>
      <c r="Z86" s="72">
        <f>ANUAL!$M$46</f>
        <v>0</v>
      </c>
    </row>
    <row r="87" spans="1:26">
      <c r="A87" s="18"/>
      <c r="B87" s="18"/>
      <c r="C87" s="18"/>
      <c r="D87" s="18"/>
      <c r="E87" s="18"/>
      <c r="F87" s="18"/>
      <c r="G87" s="18"/>
      <c r="H87" s="18"/>
      <c r="I87" s="18"/>
      <c r="J87" s="18"/>
      <c r="K87" s="18"/>
      <c r="L87" s="18"/>
      <c r="M87" s="18"/>
      <c r="N87" s="18"/>
      <c r="O87" s="18"/>
      <c r="P87" s="18"/>
      <c r="Q87" s="18"/>
      <c r="R87" s="18"/>
      <c r="S87" s="18"/>
      <c r="T87" s="18"/>
      <c r="U87" s="18"/>
      <c r="V87" s="18"/>
      <c r="W87" s="18"/>
      <c r="X87" s="18"/>
      <c r="Y87" s="18"/>
    </row>
    <row r="88" spans="1:26">
      <c r="A88" s="18"/>
      <c r="B88" s="18"/>
      <c r="C88" s="18"/>
      <c r="D88" s="18"/>
      <c r="E88" s="18"/>
      <c r="F88" s="18"/>
      <c r="G88" s="18"/>
      <c r="H88" s="18"/>
      <c r="I88" s="18"/>
      <c r="J88" s="18"/>
      <c r="K88" s="18"/>
      <c r="L88" s="18"/>
      <c r="M88" s="18"/>
      <c r="N88" s="18"/>
      <c r="O88" s="18"/>
      <c r="P88" s="18"/>
      <c r="Q88" s="18"/>
      <c r="R88" s="18"/>
      <c r="S88" s="18"/>
      <c r="T88" s="18"/>
      <c r="U88" s="18"/>
      <c r="V88" s="18"/>
      <c r="W88" s="18"/>
      <c r="X88" s="18"/>
      <c r="Y88" s="18"/>
    </row>
    <row r="89" spans="1:26">
      <c r="A89" s="18"/>
      <c r="B89" s="18"/>
      <c r="C89" s="18"/>
      <c r="D89" s="18"/>
      <c r="E89" s="18"/>
      <c r="F89" s="18"/>
      <c r="G89" s="18"/>
      <c r="H89" s="18"/>
      <c r="I89" s="18"/>
      <c r="J89" s="18"/>
      <c r="K89" s="18"/>
      <c r="L89" s="18"/>
      <c r="M89" s="18"/>
      <c r="N89" s="18"/>
      <c r="O89" s="18"/>
      <c r="P89" s="18"/>
      <c r="Q89" s="18"/>
      <c r="R89" s="18"/>
      <c r="S89" s="18"/>
      <c r="T89" s="18"/>
      <c r="U89" s="18"/>
      <c r="V89" s="18"/>
      <c r="W89" s="18"/>
      <c r="X89" s="18"/>
      <c r="Y89" s="18"/>
    </row>
    <row r="90" spans="1:26">
      <c r="A90" s="18"/>
      <c r="B90" s="18"/>
      <c r="C90" s="18"/>
      <c r="D90" s="18"/>
      <c r="E90" s="18"/>
      <c r="F90" s="18"/>
      <c r="G90" s="18"/>
      <c r="H90" s="18"/>
      <c r="I90" s="18"/>
      <c r="J90" s="18"/>
      <c r="K90" s="18"/>
      <c r="L90" s="18"/>
      <c r="M90" s="18"/>
      <c r="N90" s="18"/>
      <c r="O90" s="18"/>
      <c r="P90" s="18"/>
      <c r="Q90" s="18"/>
      <c r="R90" s="18"/>
      <c r="S90" s="18"/>
      <c r="T90" s="18"/>
      <c r="U90" s="18"/>
      <c r="V90" s="18"/>
      <c r="W90" s="18"/>
      <c r="X90" s="18"/>
      <c r="Y90" s="18"/>
    </row>
    <row r="91" spans="1:26">
      <c r="A91" s="18"/>
      <c r="B91" s="18"/>
      <c r="C91" s="18"/>
      <c r="D91" s="18"/>
      <c r="E91" s="18"/>
      <c r="F91" s="18"/>
      <c r="G91" s="18"/>
      <c r="H91" s="18"/>
      <c r="I91" s="18"/>
      <c r="J91" s="18"/>
      <c r="K91" s="18"/>
      <c r="L91" s="18"/>
      <c r="M91" s="18"/>
      <c r="N91" s="18"/>
      <c r="O91" s="18"/>
      <c r="P91" s="18"/>
      <c r="Q91" s="18"/>
      <c r="R91" s="18"/>
      <c r="S91" s="18"/>
      <c r="T91" s="18"/>
      <c r="U91" s="18"/>
      <c r="V91" s="18"/>
      <c r="W91" s="18"/>
      <c r="X91" s="18"/>
      <c r="Y91" s="18"/>
    </row>
    <row r="92" spans="1:26">
      <c r="A92" s="18"/>
      <c r="B92" s="18"/>
      <c r="C92" s="18"/>
      <c r="D92" s="18"/>
      <c r="E92" s="18"/>
      <c r="F92" s="18"/>
      <c r="G92" s="18"/>
      <c r="H92" s="18"/>
      <c r="I92" s="18"/>
      <c r="J92" s="18"/>
      <c r="K92" s="18"/>
      <c r="L92" s="18"/>
      <c r="M92" s="18"/>
      <c r="N92" s="18"/>
      <c r="O92" s="18"/>
      <c r="P92" s="18"/>
      <c r="Q92" s="18"/>
      <c r="R92" s="18"/>
      <c r="S92" s="18"/>
      <c r="T92" s="18"/>
      <c r="U92" s="18"/>
      <c r="V92" s="18"/>
      <c r="W92" s="18"/>
      <c r="X92" s="18"/>
      <c r="Y92" s="18"/>
    </row>
    <row r="93" spans="1:26">
      <c r="A93" s="18"/>
      <c r="B93" s="18"/>
      <c r="C93" s="18"/>
      <c r="D93" s="18"/>
      <c r="E93" s="18"/>
      <c r="F93" s="18"/>
      <c r="G93" s="18"/>
      <c r="H93" s="18"/>
      <c r="I93" s="18"/>
      <c r="J93" s="18"/>
      <c r="K93" s="18"/>
      <c r="L93" s="18"/>
      <c r="M93" s="18"/>
      <c r="N93" s="18"/>
      <c r="O93" s="18"/>
      <c r="P93" s="18"/>
      <c r="Q93" s="18"/>
      <c r="R93" s="18"/>
      <c r="S93" s="18"/>
      <c r="T93" s="18"/>
      <c r="U93" s="18"/>
      <c r="V93" s="18"/>
      <c r="W93" s="18"/>
      <c r="X93" s="18"/>
      <c r="Y93" s="18"/>
    </row>
    <row r="94" spans="1:26">
      <c r="A94" s="18"/>
      <c r="B94" s="18"/>
      <c r="C94" s="18"/>
      <c r="D94" s="18"/>
      <c r="E94" s="18"/>
      <c r="F94" s="18"/>
      <c r="G94" s="18"/>
      <c r="H94" s="18"/>
      <c r="I94" s="18"/>
      <c r="J94" s="18"/>
      <c r="K94" s="18"/>
      <c r="L94" s="18"/>
      <c r="M94" s="18"/>
      <c r="N94" s="18"/>
      <c r="O94" s="18"/>
      <c r="P94" s="18"/>
      <c r="Q94" s="18"/>
      <c r="R94" s="18"/>
      <c r="S94" s="18"/>
      <c r="T94" s="18"/>
      <c r="U94" s="18"/>
      <c r="V94" s="18"/>
      <c r="W94" s="18"/>
      <c r="X94" s="18"/>
      <c r="Y94" s="18"/>
    </row>
    <row r="95" spans="1:26">
      <c r="A95" s="18"/>
      <c r="B95" s="18"/>
      <c r="C95" s="18"/>
      <c r="D95" s="18"/>
      <c r="E95" s="18"/>
      <c r="F95" s="18"/>
      <c r="G95" s="18"/>
      <c r="H95" s="18"/>
      <c r="I95" s="18"/>
      <c r="J95" s="18"/>
      <c r="K95" s="18"/>
      <c r="L95" s="18"/>
      <c r="M95" s="18"/>
      <c r="N95" s="18"/>
      <c r="O95" s="18"/>
      <c r="P95" s="18"/>
      <c r="Q95" s="18"/>
      <c r="R95" s="18"/>
      <c r="S95" s="18"/>
      <c r="T95" s="18"/>
      <c r="U95" s="18"/>
      <c r="V95" s="18"/>
      <c r="W95" s="18"/>
      <c r="X95" s="18"/>
      <c r="Y95" s="18"/>
    </row>
    <row r="96" spans="1:26">
      <c r="A96" s="18"/>
      <c r="B96" s="18"/>
      <c r="C96" s="18"/>
      <c r="D96" s="18"/>
      <c r="E96" s="18"/>
      <c r="F96" s="18"/>
      <c r="G96" s="18"/>
      <c r="H96" s="18"/>
      <c r="I96" s="18"/>
      <c r="J96" s="18"/>
      <c r="K96" s="18"/>
      <c r="L96" s="18"/>
      <c r="M96" s="18"/>
      <c r="N96" s="18"/>
      <c r="O96" s="18"/>
      <c r="P96" s="18"/>
      <c r="Q96" s="18"/>
      <c r="R96" s="18"/>
      <c r="S96" s="18"/>
      <c r="T96" s="18"/>
      <c r="U96" s="18"/>
      <c r="V96" s="18"/>
      <c r="W96" s="18"/>
      <c r="X96" s="18"/>
      <c r="Y96" s="18"/>
    </row>
    <row r="97" spans="1:25">
      <c r="A97" s="18"/>
      <c r="B97" s="18"/>
      <c r="C97" s="18"/>
      <c r="D97" s="18"/>
      <c r="E97" s="18"/>
      <c r="F97" s="18"/>
      <c r="G97" s="18"/>
      <c r="H97" s="18"/>
      <c r="I97" s="18"/>
      <c r="J97" s="18"/>
      <c r="K97" s="18"/>
      <c r="L97" s="18"/>
      <c r="M97" s="18"/>
      <c r="N97" s="18"/>
      <c r="O97" s="18"/>
      <c r="P97" s="18"/>
      <c r="Q97" s="18"/>
      <c r="R97" s="18"/>
      <c r="S97" s="18"/>
      <c r="T97" s="18"/>
      <c r="U97" s="18"/>
      <c r="V97" s="18"/>
      <c r="W97" s="18"/>
      <c r="X97" s="18"/>
      <c r="Y97" s="18"/>
    </row>
    <row r="98" spans="1:25">
      <c r="A98" s="18"/>
      <c r="B98" s="18"/>
      <c r="C98" s="18"/>
      <c r="D98" s="18"/>
      <c r="E98" s="18"/>
      <c r="F98" s="18"/>
      <c r="G98" s="18"/>
      <c r="H98" s="18"/>
      <c r="I98" s="18"/>
      <c r="J98" s="18"/>
      <c r="K98" s="18"/>
      <c r="L98" s="18"/>
      <c r="M98" s="18"/>
      <c r="N98" s="18"/>
      <c r="O98" s="18"/>
      <c r="P98" s="18"/>
      <c r="Q98" s="18"/>
      <c r="R98" s="18"/>
      <c r="S98" s="18"/>
      <c r="T98" s="18"/>
      <c r="U98" s="18"/>
      <c r="V98" s="18"/>
      <c r="W98" s="18"/>
      <c r="X98" s="18"/>
      <c r="Y98" s="18"/>
    </row>
    <row r="99" spans="1:25" ht="21">
      <c r="A99" s="18"/>
      <c r="B99" s="18"/>
      <c r="C99" s="18"/>
      <c r="D99" s="18"/>
      <c r="E99" s="18"/>
      <c r="F99" s="18"/>
      <c r="G99" s="18"/>
      <c r="H99" s="355" t="s">
        <v>51</v>
      </c>
      <c r="I99" s="355"/>
      <c r="J99" s="355"/>
      <c r="K99" s="355"/>
      <c r="L99" s="355"/>
      <c r="M99" s="18"/>
      <c r="N99" s="18"/>
      <c r="O99" s="18"/>
      <c r="P99" s="18"/>
      <c r="Q99" s="18"/>
      <c r="R99" s="18"/>
      <c r="S99" s="18"/>
      <c r="T99" s="18"/>
      <c r="U99" s="18"/>
      <c r="V99" s="18"/>
      <c r="W99" s="18"/>
      <c r="X99" s="18"/>
      <c r="Y99" s="18"/>
    </row>
    <row r="100" spans="1:2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row>
    <row r="101" spans="1:2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row>
    <row r="102" spans="1:2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row>
    <row r="103" spans="1:2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row>
    <row r="104" spans="1:2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row>
    <row r="105" spans="1:2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row>
    <row r="106" spans="1:2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row>
    <row r="107" spans="1:2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row>
    <row r="108" spans="1:2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row>
  </sheetData>
  <mergeCells count="13">
    <mergeCell ref="H99:L99"/>
    <mergeCell ref="AA2:AC2"/>
    <mergeCell ref="AA72:AC72"/>
    <mergeCell ref="Q2:S2"/>
    <mergeCell ref="H72:P72"/>
    <mergeCell ref="Q72:S72"/>
    <mergeCell ref="U72:W72"/>
    <mergeCell ref="H2:O2"/>
    <mergeCell ref="T2:W2"/>
    <mergeCell ref="H39:O39"/>
    <mergeCell ref="Q39:S39"/>
    <mergeCell ref="T39:W39"/>
    <mergeCell ref="AA39:AC39"/>
  </mergeCells>
  <pageMargins left="0.44" right="0.49" top="0.75" bottom="0.75" header="0.3" footer="0.3"/>
  <pageSetup orientation="landscape" horizontalDpi="4294967293"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Hoja21"/>
  <dimension ref="A1:R57"/>
  <sheetViews>
    <sheetView workbookViewId="0">
      <pane ySplit="3" topLeftCell="A4" activePane="bottomLeft" state="frozen"/>
      <selection pane="bottomLeft" activeCell="O51" sqref="O51"/>
    </sheetView>
  </sheetViews>
  <sheetFormatPr defaultColWidth="11.42578125" defaultRowHeight="15"/>
  <cols>
    <col min="1" max="1" width="2.7109375" customWidth="1"/>
    <col min="2" max="2" width="31.5703125" customWidth="1"/>
    <col min="3" max="13" width="5.28515625" customWidth="1"/>
    <col min="14" max="14" width="3" customWidth="1"/>
    <col min="15" max="15" width="8.7109375" customWidth="1"/>
  </cols>
  <sheetData>
    <row r="1" spans="1:18" ht="18.75">
      <c r="A1" s="18"/>
      <c r="B1" s="18"/>
      <c r="C1" s="18"/>
      <c r="D1" s="361" t="s">
        <v>46</v>
      </c>
      <c r="E1" s="361"/>
      <c r="F1" s="361"/>
      <c r="G1" s="361"/>
      <c r="H1" s="361"/>
      <c r="I1" s="361"/>
      <c r="J1" s="361"/>
      <c r="K1" s="361"/>
      <c r="L1" s="361"/>
      <c r="M1" s="18"/>
      <c r="N1" s="18"/>
    </row>
    <row r="2" spans="1:18" ht="10.5" customHeight="1" thickBot="1">
      <c r="A2" s="18"/>
      <c r="B2" s="18"/>
      <c r="C2" s="18"/>
      <c r="D2" s="18"/>
      <c r="E2" s="18"/>
      <c r="F2" s="18"/>
      <c r="G2" s="18"/>
      <c r="H2" s="18"/>
      <c r="I2" s="18"/>
      <c r="J2" s="18"/>
      <c r="K2" s="18"/>
      <c r="L2" s="18"/>
      <c r="M2" s="18"/>
      <c r="N2" s="18"/>
    </row>
    <row r="3" spans="1:18" ht="25.5" customHeight="1" thickTop="1">
      <c r="A3" s="83"/>
      <c r="B3" s="84" t="str">
        <f>NOMINA!$B$2</f>
        <v>CURSO 2A</v>
      </c>
      <c r="C3" s="194" t="s">
        <v>15</v>
      </c>
      <c r="D3" s="194" t="s">
        <v>16</v>
      </c>
      <c r="E3" s="194" t="s">
        <v>66</v>
      </c>
      <c r="F3" s="194" t="s">
        <v>41</v>
      </c>
      <c r="G3" s="194" t="s">
        <v>18</v>
      </c>
      <c r="H3" s="194" t="s">
        <v>67</v>
      </c>
      <c r="I3" s="194" t="s">
        <v>14</v>
      </c>
      <c r="J3" s="195" t="s">
        <v>106</v>
      </c>
      <c r="K3" s="195" t="s">
        <v>107</v>
      </c>
      <c r="L3" s="195" t="s">
        <v>57</v>
      </c>
      <c r="M3" s="195" t="s">
        <v>19</v>
      </c>
      <c r="N3" s="63"/>
    </row>
    <row r="4" spans="1:18" ht="17.100000000000001" customHeight="1">
      <c r="A4" s="48">
        <f>NOMINA!A6</f>
        <v>1</v>
      </c>
      <c r="B4" s="85" t="str">
        <f>NOMINA!B6</f>
        <v>ABREU MARRERO LIZ DANIELA</v>
      </c>
      <c r="C4" s="48">
        <f>IF(LEN!F6=0," ",LEN!F6)</f>
        <v>18</v>
      </c>
      <c r="D4" s="48">
        <f>IF(ING!F6=0," ",ING!F6)</f>
        <v>20</v>
      </c>
      <c r="E4" s="48">
        <f>IF('C.SOC'!F6=0," ",'C.SOC'!F6)</f>
        <v>24</v>
      </c>
      <c r="F4" s="48">
        <f>IF('E. FIS.'!F6=0," ",'E. FIS.'!F6)</f>
        <v>23</v>
      </c>
      <c r="G4" s="48">
        <f>IF(MUS.!F6=0," ",MUS.!F6)</f>
        <v>31</v>
      </c>
      <c r="H4" s="48">
        <f>IF('A.PL. '!F6=0," ",'A.PL. '!F6)</f>
        <v>24</v>
      </c>
      <c r="I4" s="48">
        <f>IF(MAT!F6=0," ",MAT!F6)</f>
        <v>21</v>
      </c>
      <c r="J4" s="48">
        <f>IF('T. TEC. GRAL'!F6=0," ",'T. TEC. GRAL'!F6)</f>
        <v>22</v>
      </c>
      <c r="K4" s="48">
        <f>IF('BIO-GEO'!F6=0," ",'BIO-GEO'!F6)</f>
        <v>26</v>
      </c>
      <c r="L4" s="48">
        <f>IF(PSI!F6=0," ",PSI!F6)</f>
        <v>25</v>
      </c>
      <c r="M4" s="48">
        <f>IF('REL.'!F6=0," ",'REL.'!F6)</f>
        <v>22</v>
      </c>
      <c r="N4" s="18"/>
    </row>
    <row r="5" spans="1:18" ht="17.100000000000001" customHeight="1">
      <c r="A5" s="48">
        <f>NOMINA!A7</f>
        <v>2</v>
      </c>
      <c r="B5" s="85" t="str">
        <f>NOMINA!B7</f>
        <v>ALIAGA SAAVEDRA MARCU MAURICIO</v>
      </c>
      <c r="C5" s="48">
        <f>IF(LEN!F7=0," ",LEN!F7)</f>
        <v>18</v>
      </c>
      <c r="D5" s="48">
        <f>IF(ING!F7=0," ",ING!F7)</f>
        <v>22</v>
      </c>
      <c r="E5" s="48">
        <f>IF('C.SOC'!F7=0," ",'C.SOC'!F7)</f>
        <v>19</v>
      </c>
      <c r="F5" s="48">
        <f>IF('E. FIS.'!F7=0," ",'E. FIS.'!F7)</f>
        <v>18</v>
      </c>
      <c r="G5" s="48">
        <f>IF(MUS.!F7=0," ",MUS.!F7)</f>
        <v>29</v>
      </c>
      <c r="H5" s="48">
        <f>IF('A.PL. '!F7=0," ",'A.PL. '!F7)</f>
        <v>18</v>
      </c>
      <c r="I5" s="48">
        <f>IF(MAT!F7=0," ",MAT!F7)</f>
        <v>20</v>
      </c>
      <c r="J5" s="48">
        <f>IF('T. TEC. GRAL'!F7=0," ",'T. TEC. GRAL'!F7)</f>
        <v>21</v>
      </c>
      <c r="K5" s="48">
        <f>IF('BIO-GEO'!F7=0," ",'BIO-GEO'!F7)</f>
        <v>25</v>
      </c>
      <c r="L5" s="48">
        <f>IF(PSI!F7=0," ",PSI!F7)</f>
        <v>27</v>
      </c>
      <c r="M5" s="48">
        <f>IF('REL.'!F7=0," ",'REL.'!F7)</f>
        <v>21</v>
      </c>
      <c r="N5" s="18"/>
    </row>
    <row r="6" spans="1:18" ht="17.100000000000001" customHeight="1">
      <c r="A6" s="48">
        <f>NOMINA!A8</f>
        <v>3</v>
      </c>
      <c r="B6" s="85" t="str">
        <f>NOMINA!B8</f>
        <v>ANTEZANA CACHI JOSE MAXWEL</v>
      </c>
      <c r="C6" s="48">
        <f>IF(LEN!F8=0," ",LEN!F8)</f>
        <v>22</v>
      </c>
      <c r="D6" s="48">
        <f>IF(ING!F8=0," ",ING!F8)</f>
        <v>27</v>
      </c>
      <c r="E6" s="48">
        <f>IF('C.SOC'!F8=0," ",'C.SOC'!F8)</f>
        <v>25</v>
      </c>
      <c r="F6" s="48">
        <f>IF('E. FIS.'!F8=0," ",'E. FIS.'!F8)</f>
        <v>21</v>
      </c>
      <c r="G6" s="48">
        <f>IF(MUS.!F8=0," ",MUS.!F8)</f>
        <v>32</v>
      </c>
      <c r="H6" s="48">
        <f>IF('A.PL. '!F8=0," ",'A.PL. '!F8)</f>
        <v>20</v>
      </c>
      <c r="I6" s="48">
        <f>IF(MAT!F8=0," ",MAT!F8)</f>
        <v>30</v>
      </c>
      <c r="J6" s="48">
        <f>IF('T. TEC. GRAL'!F8=0," ",'T. TEC. GRAL'!F8)</f>
        <v>22</v>
      </c>
      <c r="K6" s="48">
        <f>IF('BIO-GEO'!F8=0," ",'BIO-GEO'!F8)</f>
        <v>25</v>
      </c>
      <c r="L6" s="48">
        <f>IF(PSI!F8=0," ",PSI!F8)</f>
        <v>28</v>
      </c>
      <c r="M6" s="48">
        <f>IF('REL.'!F8=0," ",'REL.'!F8)</f>
        <v>23</v>
      </c>
      <c r="N6" s="18"/>
      <c r="R6" s="137"/>
    </row>
    <row r="7" spans="1:18" ht="17.100000000000001" customHeight="1">
      <c r="A7" s="48">
        <f>NOMINA!A9</f>
        <v>4</v>
      </c>
      <c r="B7" s="85" t="str">
        <f>NOMINA!B9</f>
        <v>ARIZACA SALGUERO SANTIAGO</v>
      </c>
      <c r="C7" s="48">
        <f>IF(LEN!F9=0," ",LEN!F9)</f>
        <v>15</v>
      </c>
      <c r="D7" s="48">
        <f>IF(ING!F9=0," ",ING!F9)</f>
        <v>16</v>
      </c>
      <c r="E7" s="48">
        <f>IF('C.SOC'!F9=0," ",'C.SOC'!F9)</f>
        <v>21</v>
      </c>
      <c r="F7" s="48">
        <f>IF('E. FIS.'!F9=0," ",'E. FIS.'!F9)</f>
        <v>25</v>
      </c>
      <c r="G7" s="48">
        <f>IF(MUS.!F9=0," ",MUS.!F9)</f>
        <v>23</v>
      </c>
      <c r="H7" s="48">
        <f>IF('A.PL. '!F9=0," ",'A.PL. '!F9)</f>
        <v>21</v>
      </c>
      <c r="I7" s="48">
        <f>IF(MAT!F9=0," ",MAT!F9)</f>
        <v>20</v>
      </c>
      <c r="J7" s="48">
        <f>IF('T. TEC. GRAL'!F9=0," ",'T. TEC. GRAL'!F9)</f>
        <v>23</v>
      </c>
      <c r="K7" s="48">
        <f>IF('BIO-GEO'!F9=0," ",'BIO-GEO'!F9)</f>
        <v>26</v>
      </c>
      <c r="L7" s="48">
        <f>IF(PSI!F9=0," ",PSI!F9)</f>
        <v>17</v>
      </c>
      <c r="M7" s="48">
        <f>IF('REL.'!F9=0," ",'REL.'!F9)</f>
        <v>17</v>
      </c>
      <c r="N7" s="18"/>
    </row>
    <row r="8" spans="1:18" ht="17.100000000000001" customHeight="1">
      <c r="A8" s="48">
        <f>NOMINA!A10</f>
        <v>5</v>
      </c>
      <c r="B8" s="85" t="str">
        <f>NOMINA!B10</f>
        <v>BAUTISTA GARCIA ALISON LUCIANA</v>
      </c>
      <c r="C8" s="48">
        <f>IF(LEN!F10=0," ",LEN!F10)</f>
        <v>17</v>
      </c>
      <c r="D8" s="48">
        <f>IF(ING!F10=0," ",ING!F10)</f>
        <v>19</v>
      </c>
      <c r="E8" s="48">
        <f>IF('C.SOC'!F10=0," ",'C.SOC'!F10)</f>
        <v>17</v>
      </c>
      <c r="F8" s="48">
        <f>IF('E. FIS.'!F10=0," ",'E. FIS.'!F10)</f>
        <v>22</v>
      </c>
      <c r="G8" s="48">
        <f>IF(MUS.!F10=0," ",MUS.!F10)</f>
        <v>25</v>
      </c>
      <c r="H8" s="48">
        <f>IF('A.PL. '!F10=0," ",'A.PL. '!F10)</f>
        <v>24</v>
      </c>
      <c r="I8" s="48">
        <f>IF(MAT!F10=0," ",MAT!F10)</f>
        <v>19</v>
      </c>
      <c r="J8" s="48">
        <f>IF('T. TEC. GRAL'!F10=0," ",'T. TEC. GRAL'!F10)</f>
        <v>24</v>
      </c>
      <c r="K8" s="48">
        <f>IF('BIO-GEO'!F10=0," ",'BIO-GEO'!F10)</f>
        <v>23</v>
      </c>
      <c r="L8" s="48">
        <f>IF(PSI!F10=0," ",PSI!F10)</f>
        <v>22</v>
      </c>
      <c r="M8" s="48">
        <f>IF('REL.'!F10=0," ",'REL.'!F10)</f>
        <v>26</v>
      </c>
      <c r="N8" s="18"/>
    </row>
    <row r="9" spans="1:18" ht="17.100000000000001" customHeight="1">
      <c r="A9" s="48">
        <f>NOMINA!A11</f>
        <v>6</v>
      </c>
      <c r="B9" s="85" t="str">
        <f>NOMINA!B11</f>
        <v>BOLIVAR REVOLLO NIVARDO ADOLFO</v>
      </c>
      <c r="C9" s="48">
        <f>IF(LEN!F11=0," ",LEN!F11)</f>
        <v>17</v>
      </c>
      <c r="D9" s="48">
        <f>IF(ING!F11=0," ",ING!F11)</f>
        <v>21</v>
      </c>
      <c r="E9" s="48">
        <f>IF('C.SOC'!F11=0," ",'C.SOC'!F11)</f>
        <v>14</v>
      </c>
      <c r="F9" s="48">
        <f>IF('E. FIS.'!F11=0," ",'E. FIS.'!F11)</f>
        <v>20</v>
      </c>
      <c r="G9" s="48">
        <f>IF(MUS.!F11=0," ",MUS.!F11)</f>
        <v>24</v>
      </c>
      <c r="H9" s="48">
        <f>IF('A.PL. '!F11=0," ",'A.PL. '!F11)</f>
        <v>18</v>
      </c>
      <c r="I9" s="48">
        <f>IF(MAT!F11=0," ",MAT!F11)</f>
        <v>15</v>
      </c>
      <c r="J9" s="48">
        <f>IF('T. TEC. GRAL'!F11=0," ",'T. TEC. GRAL'!F11)</f>
        <v>22</v>
      </c>
      <c r="K9" s="48">
        <f>IF('BIO-GEO'!F11=0," ",'BIO-GEO'!F11)</f>
        <v>20</v>
      </c>
      <c r="L9" s="48">
        <f>IF(PSI!F11=0," ",PSI!F11)</f>
        <v>21</v>
      </c>
      <c r="M9" s="48">
        <f>IF('REL.'!F11=0," ",'REL.'!F11)</f>
        <v>26</v>
      </c>
      <c r="N9" s="18"/>
    </row>
    <row r="10" spans="1:18" ht="17.100000000000001" customHeight="1">
      <c r="A10" s="48">
        <f>NOMINA!A12</f>
        <v>7</v>
      </c>
      <c r="B10" s="85" t="str">
        <f>NOMINA!B12</f>
        <v>CADIMA SOLIZ NICOLAS</v>
      </c>
      <c r="C10" s="48">
        <f>IF(LEN!F12=0," ",LEN!F12)</f>
        <v>15</v>
      </c>
      <c r="D10" s="48">
        <f>IF(ING!F12=0," ",ING!F12)</f>
        <v>16</v>
      </c>
      <c r="E10" s="48">
        <f>IF('C.SOC'!F12=0," ",'C.SOC'!F12)</f>
        <v>13</v>
      </c>
      <c r="F10" s="48">
        <f>IF('E. FIS.'!F12=0," ",'E. FIS.'!F12)</f>
        <v>23</v>
      </c>
      <c r="G10" s="48">
        <f>IF(MUS.!F12=0," ",MUS.!F12)</f>
        <v>22</v>
      </c>
      <c r="H10" s="48">
        <f>IF('A.PL. '!F12=0," ",'A.PL. '!F12)</f>
        <v>20</v>
      </c>
      <c r="I10" s="48">
        <f>IF(MAT!F12=0," ",MAT!F12)</f>
        <v>15</v>
      </c>
      <c r="J10" s="48">
        <f>IF('T. TEC. GRAL'!F12=0," ",'T. TEC. GRAL'!F12)</f>
        <v>19</v>
      </c>
      <c r="K10" s="48">
        <f>IF('BIO-GEO'!F12=0," ",'BIO-GEO'!F12)</f>
        <v>22</v>
      </c>
      <c r="L10" s="48">
        <f>IF(PSI!F12=0," ",PSI!F12)</f>
        <v>22</v>
      </c>
      <c r="M10" s="48">
        <f>IF('REL.'!F12=0," ",'REL.'!F12)</f>
        <v>22</v>
      </c>
      <c r="N10" s="18"/>
    </row>
    <row r="11" spans="1:18" ht="17.100000000000001" customHeight="1">
      <c r="A11" s="48">
        <f>NOMINA!A13</f>
        <v>8</v>
      </c>
      <c r="B11" s="85" t="str">
        <f>NOMINA!B13</f>
        <v>CALLE PEREZ ANDREA BELEN</v>
      </c>
      <c r="C11" s="48">
        <f>IF(LEN!F13=0," ",LEN!F13)</f>
        <v>26</v>
      </c>
      <c r="D11" s="48">
        <f>IF(ING!F13=0," ",ING!F13)</f>
        <v>27</v>
      </c>
      <c r="E11" s="48">
        <f>IF('C.SOC'!F13=0," ",'C.SOC'!F13)</f>
        <v>25</v>
      </c>
      <c r="F11" s="48">
        <f>IF('E. FIS.'!F13=0," ",'E. FIS.'!F13)</f>
        <v>22</v>
      </c>
      <c r="G11" s="48">
        <f>IF(MUS.!F13=0," ",MUS.!F13)</f>
        <v>32</v>
      </c>
      <c r="H11" s="48">
        <f>IF('A.PL. '!F13=0," ",'A.PL. '!F13)</f>
        <v>23</v>
      </c>
      <c r="I11" s="48">
        <f>IF(MAT!F13=0," ",MAT!F13)</f>
        <v>31</v>
      </c>
      <c r="J11" s="48">
        <f>IF('T. TEC. GRAL'!F13=0," ",'T. TEC. GRAL'!F13)</f>
        <v>26</v>
      </c>
      <c r="K11" s="48">
        <f>IF('BIO-GEO'!F13=0," ",'BIO-GEO'!F13)</f>
        <v>28</v>
      </c>
      <c r="L11" s="48">
        <f>IF(PSI!F13=0," ",PSI!F13)</f>
        <v>27</v>
      </c>
      <c r="M11" s="48">
        <f>IF('REL.'!F13=0," ",'REL.'!F13)</f>
        <v>25</v>
      </c>
      <c r="N11" s="18"/>
    </row>
    <row r="12" spans="1:18" ht="17.100000000000001" customHeight="1">
      <c r="A12" s="48">
        <f>NOMINA!A14</f>
        <v>9</v>
      </c>
      <c r="B12" s="85" t="str">
        <f>NOMINA!B14</f>
        <v>CHAVEZ AMURRIO SEBASTIAN FABIAN</v>
      </c>
      <c r="C12" s="48">
        <f>IF(LEN!F14=0," ",LEN!F14)</f>
        <v>15</v>
      </c>
      <c r="D12" s="48">
        <f>IF(ING!F14=0," ",ING!F14)</f>
        <v>15</v>
      </c>
      <c r="E12" s="48">
        <f>IF('C.SOC'!F14=0," ",'C.SOC'!F14)</f>
        <v>19</v>
      </c>
      <c r="F12" s="48">
        <f>IF('E. FIS.'!F14=0," ",'E. FIS.'!F14)</f>
        <v>15</v>
      </c>
      <c r="G12" s="48">
        <f>IF(MUS.!F14=0," ",MUS.!F14)</f>
        <v>18</v>
      </c>
      <c r="H12" s="48">
        <f>IF('A.PL. '!F14=0," ",'A.PL. '!F14)</f>
        <v>22</v>
      </c>
      <c r="I12" s="48">
        <f>IF(MAT!F14=0," ",MAT!F14)</f>
        <v>16</v>
      </c>
      <c r="J12" s="48">
        <f>IF('T. TEC. GRAL'!F14=0," ",'T. TEC. GRAL'!F14)</f>
        <v>15</v>
      </c>
      <c r="K12" s="48">
        <f>IF('BIO-GEO'!F14=0," ",'BIO-GEO'!F14)</f>
        <v>12</v>
      </c>
      <c r="L12" s="48">
        <f>IF(PSI!F14=0," ",PSI!F14)</f>
        <v>15</v>
      </c>
      <c r="M12" s="48">
        <f>IF('REL.'!F14=0," ",'REL.'!F14)</f>
        <v>17</v>
      </c>
      <c r="N12" s="18"/>
    </row>
    <row r="13" spans="1:18" ht="17.100000000000001" customHeight="1">
      <c r="A13" s="48">
        <f>NOMINA!A15</f>
        <v>10</v>
      </c>
      <c r="B13" s="85" t="str">
        <f>NOMINA!B15</f>
        <v>CHOQUE ARISPE YURIANA LUCIA</v>
      </c>
      <c r="C13" s="48">
        <f>IF(LEN!F15=0," ",LEN!F15)</f>
        <v>17</v>
      </c>
      <c r="D13" s="48">
        <f>IF(ING!F15=0," ",ING!F15)</f>
        <v>19</v>
      </c>
      <c r="E13" s="48">
        <f>IF('C.SOC'!F15=0," ",'C.SOC'!F15)</f>
        <v>15</v>
      </c>
      <c r="F13" s="48">
        <f>IF('E. FIS.'!F15=0," ",'E. FIS.'!F15)</f>
        <v>18</v>
      </c>
      <c r="G13" s="48">
        <f>IF(MUS.!F15=0," ",MUS.!F15)</f>
        <v>19</v>
      </c>
      <c r="H13" s="48">
        <f>IF('A.PL. '!F15=0," ",'A.PL. '!F15)</f>
        <v>22</v>
      </c>
      <c r="I13" s="48">
        <f>IF(MAT!F15=0," ",MAT!F15)</f>
        <v>17</v>
      </c>
      <c r="J13" s="48">
        <f>IF('T. TEC. GRAL'!F15=0," ",'T. TEC. GRAL'!F15)</f>
        <v>22</v>
      </c>
      <c r="K13" s="48">
        <f>IF('BIO-GEO'!F15=0," ",'BIO-GEO'!F15)</f>
        <v>22</v>
      </c>
      <c r="L13" s="48">
        <f>IF(PSI!F15=0," ",PSI!F15)</f>
        <v>22</v>
      </c>
      <c r="M13" s="48">
        <f>IF('REL.'!F15=0," ",'REL.'!F15)</f>
        <v>21</v>
      </c>
      <c r="N13" s="18"/>
    </row>
    <row r="14" spans="1:18" ht="17.100000000000001" customHeight="1">
      <c r="A14" s="48">
        <f>NOMINA!A16</f>
        <v>11</v>
      </c>
      <c r="B14" s="85" t="str">
        <f>NOMINA!B16</f>
        <v>CHOQUE PERALTA JHOEL ELIAZAR</v>
      </c>
      <c r="C14" s="48">
        <f>IF(LEN!F16=0," ",LEN!F16)</f>
        <v>28</v>
      </c>
      <c r="D14" s="48">
        <f>IF(ING!F16=0," ",ING!F16)</f>
        <v>30</v>
      </c>
      <c r="E14" s="48">
        <f>IF('C.SOC'!F16=0," ",'C.SOC'!F16)</f>
        <v>27</v>
      </c>
      <c r="F14" s="48">
        <f>IF('E. FIS.'!F16=0," ",'E. FIS.'!F16)</f>
        <v>25</v>
      </c>
      <c r="G14" s="48">
        <f>IF(MUS.!F16=0," ",MUS.!F16)</f>
        <v>31</v>
      </c>
      <c r="H14" s="48">
        <f>IF('A.PL. '!F16=0," ",'A.PL. '!F16)</f>
        <v>24</v>
      </c>
      <c r="I14" s="48">
        <f>IF(MAT!F16=0," ",MAT!F16)</f>
        <v>28</v>
      </c>
      <c r="J14" s="48">
        <f>IF('T. TEC. GRAL'!F16=0," ",'T. TEC. GRAL'!F16)</f>
        <v>22</v>
      </c>
      <c r="K14" s="48">
        <f>IF('BIO-GEO'!F16=0," ",'BIO-GEO'!F16)</f>
        <v>27</v>
      </c>
      <c r="L14" s="48">
        <f>IF(PSI!F16=0," ",PSI!F16)</f>
        <v>28</v>
      </c>
      <c r="M14" s="48">
        <f>IF('REL.'!F16=0," ",'REL.'!F16)</f>
        <v>23</v>
      </c>
      <c r="N14" s="18"/>
    </row>
    <row r="15" spans="1:18" ht="17.100000000000001" customHeight="1">
      <c r="A15" s="48">
        <f>NOMINA!A17</f>
        <v>12</v>
      </c>
      <c r="B15" s="85" t="str">
        <f>NOMINA!B17</f>
        <v>COPA RIVERO MARCIA MARCELA</v>
      </c>
      <c r="C15" s="48">
        <f>IF(LEN!F17=0," ",LEN!F17)</f>
        <v>14</v>
      </c>
      <c r="D15" s="48">
        <f>IF(ING!F17=0," ",ING!F17)</f>
        <v>22</v>
      </c>
      <c r="E15" s="48">
        <f>IF('C.SOC'!F17=0," ",'C.SOC'!F17)</f>
        <v>17</v>
      </c>
      <c r="F15" s="48">
        <f>IF('E. FIS.'!F17=0," ",'E. FIS.'!F17)</f>
        <v>27</v>
      </c>
      <c r="G15" s="48">
        <f>IF(MUS.!F17=0," ",MUS.!F17)</f>
        <v>23</v>
      </c>
      <c r="H15" s="48">
        <f>IF('A.PL. '!F17=0," ",'A.PL. '!F17)</f>
        <v>20</v>
      </c>
      <c r="I15" s="48">
        <f>IF(MAT!F17=0," ",MAT!F17)</f>
        <v>17</v>
      </c>
      <c r="J15" s="48">
        <f>IF('T. TEC. GRAL'!F17=0," ",'T. TEC. GRAL'!F17)</f>
        <v>19</v>
      </c>
      <c r="K15" s="48">
        <f>IF('BIO-GEO'!F17=0," ",'BIO-GEO'!F17)</f>
        <v>20</v>
      </c>
      <c r="L15" s="48">
        <f>IF(PSI!F17=0," ",PSI!F17)</f>
        <v>17</v>
      </c>
      <c r="M15" s="48">
        <f>IF('REL.'!F17=0," ",'REL.'!F17)</f>
        <v>24</v>
      </c>
      <c r="N15" s="18"/>
    </row>
    <row r="16" spans="1:18" ht="17.100000000000001" customHeight="1">
      <c r="A16" s="48">
        <f>NOMINA!A18</f>
        <v>13</v>
      </c>
      <c r="B16" s="85" t="str">
        <f>NOMINA!B18</f>
        <v>CORIA URUÑO CHRISTOPER GABRIEL</v>
      </c>
      <c r="C16" s="48">
        <f>IF(LEN!F18=0," ",LEN!F18)</f>
        <v>23</v>
      </c>
      <c r="D16" s="48">
        <f>IF(ING!F18=0," ",ING!F18)</f>
        <v>25</v>
      </c>
      <c r="E16" s="48">
        <f>IF('C.SOC'!F18=0," ",'C.SOC'!F18)</f>
        <v>17</v>
      </c>
      <c r="F16" s="48">
        <f>IF('E. FIS.'!F18=0," ",'E. FIS.'!F18)</f>
        <v>26</v>
      </c>
      <c r="G16" s="48">
        <f>IF(MUS.!F18=0," ",MUS.!F18)</f>
        <v>31</v>
      </c>
      <c r="H16" s="48">
        <f>IF('A.PL. '!F18=0," ",'A.PL. '!F18)</f>
        <v>21</v>
      </c>
      <c r="I16" s="48">
        <f>IF(MAT!F18=0," ",MAT!F18)</f>
        <v>29</v>
      </c>
      <c r="J16" s="48">
        <f>IF('T. TEC. GRAL'!F18=0," ",'T. TEC. GRAL'!F18)</f>
        <v>23</v>
      </c>
      <c r="K16" s="48">
        <f>IF('BIO-GEO'!F18=0," ",'BIO-GEO'!F18)</f>
        <v>26</v>
      </c>
      <c r="L16" s="48">
        <f>IF(PSI!F18=0," ",PSI!F18)</f>
        <v>23</v>
      </c>
      <c r="M16" s="48">
        <f>IF('REL.'!F18=0," ",'REL.'!F18)</f>
        <v>20</v>
      </c>
      <c r="N16" s="18"/>
    </row>
    <row r="17" spans="1:14" ht="17.100000000000001" customHeight="1">
      <c r="A17" s="48">
        <f>NOMINA!A19</f>
        <v>14</v>
      </c>
      <c r="B17" s="85" t="str">
        <f>NOMINA!B19</f>
        <v>FLORES BALLESTEROS LEANDRO FRANK</v>
      </c>
      <c r="C17" s="48">
        <f>IF(LEN!F19=0," ",LEN!F19)</f>
        <v>23</v>
      </c>
      <c r="D17" s="48">
        <f>IF(ING!F19=0," ",ING!F19)</f>
        <v>20</v>
      </c>
      <c r="E17" s="48">
        <f>IF('C.SOC'!F19=0," ",'C.SOC'!F19)</f>
        <v>18</v>
      </c>
      <c r="F17" s="48">
        <f>IF('E. FIS.'!F19=0," ",'E. FIS.'!F19)</f>
        <v>24</v>
      </c>
      <c r="G17" s="48">
        <f>IF(MUS.!F19=0," ",MUS.!F19)</f>
        <v>28</v>
      </c>
      <c r="H17" s="48">
        <f>IF('A.PL. '!F19=0," ",'A.PL. '!F19)</f>
        <v>25</v>
      </c>
      <c r="I17" s="48">
        <f>IF(MAT!F19=0," ",MAT!F19)</f>
        <v>24</v>
      </c>
      <c r="J17" s="48">
        <f>IF('T. TEC. GRAL'!F19=0," ",'T. TEC. GRAL'!F19)</f>
        <v>23</v>
      </c>
      <c r="K17" s="48">
        <f>IF('BIO-GEO'!F19=0," ",'BIO-GEO'!F19)</f>
        <v>27</v>
      </c>
      <c r="L17" s="48">
        <f>IF(PSI!F19=0," ",PSI!F19)</f>
        <v>21</v>
      </c>
      <c r="M17" s="48">
        <f>IF('REL.'!F19=0," ",'REL.'!F19)</f>
        <v>22</v>
      </c>
      <c r="N17" s="18"/>
    </row>
    <row r="18" spans="1:14" ht="17.100000000000001" customHeight="1">
      <c r="A18" s="48">
        <f>NOMINA!A20</f>
        <v>15</v>
      </c>
      <c r="B18" s="85" t="str">
        <f>NOMINA!B20</f>
        <v>GONZALES MOLINA ARIANET BELEN</v>
      </c>
      <c r="C18" s="48">
        <f>IF(LEN!F20=0," ",LEN!F20)</f>
        <v>26</v>
      </c>
      <c r="D18" s="48">
        <f>IF(ING!F20=0," ",ING!F20)</f>
        <v>26</v>
      </c>
      <c r="E18" s="48">
        <f>IF('C.SOC'!F20=0," ",'C.SOC'!F20)</f>
        <v>25</v>
      </c>
      <c r="F18" s="48">
        <f>IF('E. FIS.'!F20=0," ",'E. FIS.'!F20)</f>
        <v>28</v>
      </c>
      <c r="G18" s="48">
        <f>IF(MUS.!F20=0," ",MUS.!F20)</f>
        <v>31</v>
      </c>
      <c r="H18" s="48">
        <f>IF('A.PL. '!F20=0," ",'A.PL. '!F20)</f>
        <v>27</v>
      </c>
      <c r="I18" s="48">
        <f>IF(MAT!F20=0," ",MAT!F20)</f>
        <v>29</v>
      </c>
      <c r="J18" s="48">
        <f>IF('T. TEC. GRAL'!F20=0," ",'T. TEC. GRAL'!F20)</f>
        <v>29</v>
      </c>
      <c r="K18" s="48">
        <f>IF('BIO-GEO'!F20=0," ",'BIO-GEO'!F20)</f>
        <v>24</v>
      </c>
      <c r="L18" s="48">
        <f>IF(PSI!F20=0," ",PSI!F20)</f>
        <v>28</v>
      </c>
      <c r="M18" s="48">
        <f>IF('REL.'!F20=0," ",'REL.'!F20)</f>
        <v>25</v>
      </c>
      <c r="N18" s="18"/>
    </row>
    <row r="19" spans="1:14" ht="17.100000000000001" customHeight="1">
      <c r="A19" s="48">
        <f>NOMINA!A21</f>
        <v>16</v>
      </c>
      <c r="B19" s="85" t="str">
        <f>NOMINA!B21</f>
        <v>GUAQUIPA BECERRA NICOLAS ALEX</v>
      </c>
      <c r="C19" s="48">
        <f>IF(LEN!F21=0," ",LEN!F21)</f>
        <v>26</v>
      </c>
      <c r="D19" s="48">
        <f>IF(ING!F21=0," ",ING!F21)</f>
        <v>28</v>
      </c>
      <c r="E19" s="48">
        <f>IF('C.SOC'!F21=0," ",'C.SOC'!F21)</f>
        <v>22</v>
      </c>
      <c r="F19" s="48">
        <f>IF('E. FIS.'!F21=0," ",'E. FIS.'!F21)</f>
        <v>28</v>
      </c>
      <c r="G19" s="48">
        <f>IF(MUS.!F21=0," ",MUS.!F21)</f>
        <v>30</v>
      </c>
      <c r="H19" s="48">
        <f>IF('A.PL. '!F21=0," ",'A.PL. '!F21)</f>
        <v>23</v>
      </c>
      <c r="I19" s="48">
        <f>IF(MAT!F21=0," ",MAT!F21)</f>
        <v>28</v>
      </c>
      <c r="J19" s="48">
        <f>IF('T. TEC. GRAL'!F21=0," ",'T. TEC. GRAL'!F21)</f>
        <v>24</v>
      </c>
      <c r="K19" s="48">
        <f>IF('BIO-GEO'!F21=0," ",'BIO-GEO'!F21)</f>
        <v>28</v>
      </c>
      <c r="L19" s="48">
        <f>IF(PSI!F21=0," ",PSI!F21)</f>
        <v>27</v>
      </c>
      <c r="M19" s="48">
        <f>IF('REL.'!F21=0," ",'REL.'!F21)</f>
        <v>27</v>
      </c>
      <c r="N19" s="18"/>
    </row>
    <row r="20" spans="1:14" ht="17.100000000000001" customHeight="1">
      <c r="A20" s="48">
        <f>NOMINA!A22</f>
        <v>17</v>
      </c>
      <c r="B20" s="85" t="str">
        <f>NOMINA!B22</f>
        <v>HUANQUIRI MAMANI JHOSMAR</v>
      </c>
      <c r="C20" s="48">
        <f>IF(LEN!F22=0," ",LEN!F22)</f>
        <v>14</v>
      </c>
      <c r="D20" s="48">
        <f>IF(ING!F22=0," ",ING!F22)</f>
        <v>14</v>
      </c>
      <c r="E20" s="48">
        <f>IF('C.SOC'!F22=0," ",'C.SOC'!F22)</f>
        <v>12</v>
      </c>
      <c r="F20" s="48">
        <f>IF('E. FIS.'!F22=0," ",'E. FIS.'!F22)</f>
        <v>23</v>
      </c>
      <c r="G20" s="48">
        <f>IF(MUS.!F22=0," ",MUS.!F22)</f>
        <v>18</v>
      </c>
      <c r="H20" s="48">
        <f>IF('A.PL. '!F22=0," ",'A.PL. '!F22)</f>
        <v>18</v>
      </c>
      <c r="I20" s="48">
        <f>IF(MAT!F22=0," ",MAT!F22)</f>
        <v>17</v>
      </c>
      <c r="J20" s="48">
        <f>IF('T. TEC. GRAL'!F22=0," ",'T. TEC. GRAL'!F22)</f>
        <v>16</v>
      </c>
      <c r="K20" s="48">
        <f>IF('BIO-GEO'!F22=0," ",'BIO-GEO'!F22)</f>
        <v>12</v>
      </c>
      <c r="L20" s="48">
        <f>IF(PSI!F22=0," ",PSI!F22)</f>
        <v>16</v>
      </c>
      <c r="M20" s="48">
        <f>IF('REL.'!F22=0," ",'REL.'!F22)</f>
        <v>23</v>
      </c>
      <c r="N20" s="18"/>
    </row>
    <row r="21" spans="1:14" ht="17.100000000000001" customHeight="1">
      <c r="A21" s="48">
        <f>NOMINA!A23</f>
        <v>18</v>
      </c>
      <c r="B21" s="85" t="str">
        <f>NOMINA!B23</f>
        <v>JOVE ARNEZ ANDREA LUCIANA</v>
      </c>
      <c r="C21" s="48">
        <f>IF(LEN!F23=0," ",LEN!F23)</f>
        <v>17</v>
      </c>
      <c r="D21" s="48">
        <f>IF(ING!F23=0," ",ING!F23)</f>
        <v>14</v>
      </c>
      <c r="E21" s="48">
        <f>IF('C.SOC'!F23=0," ",'C.SOC'!F23)</f>
        <v>23</v>
      </c>
      <c r="F21" s="48">
        <f>IF('E. FIS.'!F23=0," ",'E. FIS.'!F23)</f>
        <v>13</v>
      </c>
      <c r="G21" s="48">
        <f>IF(MUS.!F23=0," ",MUS.!F23)</f>
        <v>13</v>
      </c>
      <c r="H21" s="48">
        <f>IF('A.PL. '!F23=0," ",'A.PL. '!F23)</f>
        <v>19</v>
      </c>
      <c r="I21" s="48">
        <f>IF(MAT!F23=0," ",MAT!F23)</f>
        <v>20</v>
      </c>
      <c r="J21" s="48">
        <f>IF('T. TEC. GRAL'!F23=0," ",'T. TEC. GRAL'!F23)</f>
        <v>22</v>
      </c>
      <c r="K21" s="48">
        <f>IF('BIO-GEO'!F23=0," ",'BIO-GEO'!F23)</f>
        <v>17</v>
      </c>
      <c r="L21" s="48">
        <f>IF(PSI!F23=0," ",PSI!F23)</f>
        <v>27</v>
      </c>
      <c r="M21" s="48">
        <f>IF('REL.'!F23=0," ",'REL.'!F23)</f>
        <v>18</v>
      </c>
      <c r="N21" s="18"/>
    </row>
    <row r="22" spans="1:14" ht="17.100000000000001" customHeight="1">
      <c r="A22" s="48">
        <f>NOMINA!A24</f>
        <v>19</v>
      </c>
      <c r="B22" s="85" t="str">
        <f>NOMINA!B24</f>
        <v>LAFUENTE ORTUÑO VICTORIA VALENTINA</v>
      </c>
      <c r="C22" s="48">
        <f>IF(LEN!F24=0," ",LEN!F24)</f>
        <v>14</v>
      </c>
      <c r="D22" s="48">
        <f>IF(ING!F24=0," ",ING!F24)</f>
        <v>17</v>
      </c>
      <c r="E22" s="48">
        <f>IF('C.SOC'!F24=0," ",'C.SOC'!F24)</f>
        <v>12</v>
      </c>
      <c r="F22" s="48">
        <f>IF('E. FIS.'!F24=0," ",'E. FIS.'!F24)</f>
        <v>22</v>
      </c>
      <c r="G22" s="48">
        <f>IF(MUS.!F24=0," ",MUS.!F24)</f>
        <v>15</v>
      </c>
      <c r="H22" s="48">
        <f>IF('A.PL. '!F24=0," ",'A.PL. '!F24)</f>
        <v>17</v>
      </c>
      <c r="I22" s="48">
        <f>IF(MAT!F24=0," ",MAT!F24)</f>
        <v>15</v>
      </c>
      <c r="J22" s="48">
        <f>IF('T. TEC. GRAL'!F24=0," ",'T. TEC. GRAL'!F24)</f>
        <v>19</v>
      </c>
      <c r="K22" s="48">
        <f>IF('BIO-GEO'!F24=0," ",'BIO-GEO'!F24)</f>
        <v>17</v>
      </c>
      <c r="L22" s="48">
        <f>IF(PSI!F24=0," ",PSI!F24)</f>
        <v>18</v>
      </c>
      <c r="M22" s="48">
        <f>IF('REL.'!F24=0," ",'REL.'!F24)</f>
        <v>19</v>
      </c>
      <c r="N22" s="18"/>
    </row>
    <row r="23" spans="1:14" ht="17.100000000000001" customHeight="1">
      <c r="A23" s="48">
        <f>NOMINA!A25</f>
        <v>20</v>
      </c>
      <c r="B23" s="85" t="str">
        <f>NOMINA!B25</f>
        <v>MAGNANI CANAVIRI JOSUE JHONATHAN</v>
      </c>
      <c r="C23" s="48">
        <f>IF(LEN!F25=0," ",LEN!F25)</f>
        <v>20</v>
      </c>
      <c r="D23" s="48">
        <f>IF(ING!F25=0," ",ING!F25)</f>
        <v>17</v>
      </c>
      <c r="E23" s="48">
        <f>IF('C.SOC'!F25=0," ",'C.SOC'!F25)</f>
        <v>13</v>
      </c>
      <c r="F23" s="48">
        <f>IF('E. FIS.'!F25=0," ",'E. FIS.'!F25)</f>
        <v>26</v>
      </c>
      <c r="G23" s="48">
        <f>IF(MUS.!F25=0," ",MUS.!F25)</f>
        <v>26</v>
      </c>
      <c r="H23" s="48">
        <f>IF('A.PL. '!F25=0," ",'A.PL. '!F25)</f>
        <v>24</v>
      </c>
      <c r="I23" s="48">
        <f>IF(MAT!F25=0," ",MAT!F25)</f>
        <v>20</v>
      </c>
      <c r="J23" s="48">
        <f>IF('T. TEC. GRAL'!F25=0," ",'T. TEC. GRAL'!F25)</f>
        <v>20</v>
      </c>
      <c r="K23" s="48">
        <f>IF('BIO-GEO'!F25=0," ",'BIO-GEO'!F25)</f>
        <v>23</v>
      </c>
      <c r="L23" s="48">
        <f>IF(PSI!F25=0," ",PSI!F25)</f>
        <v>20</v>
      </c>
      <c r="M23" s="48">
        <f>IF('REL.'!F25=0," ",'REL.'!F25)</f>
        <v>22</v>
      </c>
      <c r="N23" s="18"/>
    </row>
    <row r="24" spans="1:14" ht="17.100000000000001" customHeight="1">
      <c r="A24" s="48">
        <f>NOMINA!A26</f>
        <v>21</v>
      </c>
      <c r="B24" s="85" t="str">
        <f>NOMINA!B26</f>
        <v>MERUVIA GUTIERREZ ASHLY SCARLETT</v>
      </c>
      <c r="C24" s="48">
        <f>IF(LEN!F26=0," ",LEN!F26)</f>
        <v>32</v>
      </c>
      <c r="D24" s="48">
        <f>IF(ING!F26=0," ",ING!F26)</f>
        <v>31</v>
      </c>
      <c r="E24" s="48">
        <f>IF('C.SOC'!F26=0," ",'C.SOC'!F26)</f>
        <v>31</v>
      </c>
      <c r="F24" s="48">
        <f>IF('E. FIS.'!F26=0," ",'E. FIS.'!F26)</f>
        <v>28</v>
      </c>
      <c r="G24" s="48">
        <f>IF(MUS.!F26=0," ",MUS.!F26)</f>
        <v>33</v>
      </c>
      <c r="H24" s="48">
        <f>IF('A.PL. '!F26=0," ",'A.PL. '!F26)</f>
        <v>30</v>
      </c>
      <c r="I24" s="48">
        <f>IF(MAT!F26=0," ",MAT!F26)</f>
        <v>33</v>
      </c>
      <c r="J24" s="48">
        <f>IF('T. TEC. GRAL'!F26=0," ",'T. TEC. GRAL'!F26)</f>
        <v>31</v>
      </c>
      <c r="K24" s="48">
        <f>IF('BIO-GEO'!F26=0," ",'BIO-GEO'!F26)</f>
        <v>30</v>
      </c>
      <c r="L24" s="48">
        <f>IF(PSI!F26=0," ",PSI!F26)</f>
        <v>29</v>
      </c>
      <c r="M24" s="48">
        <f>IF('REL.'!F26=0," ",'REL.'!F26)</f>
        <v>31</v>
      </c>
      <c r="N24" s="18"/>
    </row>
    <row r="25" spans="1:14" ht="17.100000000000001" customHeight="1">
      <c r="A25" s="48">
        <f>NOMINA!A27</f>
        <v>22</v>
      </c>
      <c r="B25" s="85" t="str">
        <f>NOMINA!B27</f>
        <v>MONTAÑO QUILO BENJAMIN GONZALO</v>
      </c>
      <c r="C25" s="48">
        <f>IF(LEN!F27=0," ",LEN!F27)</f>
        <v>15</v>
      </c>
      <c r="D25" s="48">
        <f>IF(ING!F27=0," ",ING!F27)</f>
        <v>16</v>
      </c>
      <c r="E25" s="48">
        <f>IF('C.SOC'!F27=0," ",'C.SOC'!F27)</f>
        <v>13</v>
      </c>
      <c r="F25" s="48">
        <f>IF('E. FIS.'!F27=0," ",'E. FIS.'!F27)</f>
        <v>21</v>
      </c>
      <c r="G25" s="48">
        <f>IF(MUS.!F27=0," ",MUS.!F27)</f>
        <v>15</v>
      </c>
      <c r="H25" s="48">
        <f>IF('A.PL. '!F27=0," ",'A.PL. '!F27)</f>
        <v>19</v>
      </c>
      <c r="I25" s="48">
        <f>IF(MAT!F27=0," ",MAT!F27)</f>
        <v>16</v>
      </c>
      <c r="J25" s="48">
        <f>IF('T. TEC. GRAL'!F27=0," ",'T. TEC. GRAL'!F27)</f>
        <v>18</v>
      </c>
      <c r="K25" s="48">
        <f>IF('BIO-GEO'!F27=0," ",'BIO-GEO'!F27)</f>
        <v>19</v>
      </c>
      <c r="L25" s="48">
        <f>IF(PSI!F27=0," ",PSI!F27)</f>
        <v>14</v>
      </c>
      <c r="M25" s="48">
        <f>IF('REL.'!F27=0," ",'REL.'!F27)</f>
        <v>20</v>
      </c>
      <c r="N25" s="18"/>
    </row>
    <row r="26" spans="1:14" ht="17.100000000000001" customHeight="1">
      <c r="A26" s="48">
        <f>NOMINA!A28</f>
        <v>23</v>
      </c>
      <c r="B26" s="85" t="str">
        <f>NOMINA!B28</f>
        <v>PANIAGUA VARGAS KEYLA</v>
      </c>
      <c r="C26" s="48">
        <f>IF(LEN!F28=0," ",LEN!F28)</f>
        <v>19</v>
      </c>
      <c r="D26" s="48">
        <f>IF(ING!F28=0," ",ING!F28)</f>
        <v>23</v>
      </c>
      <c r="E26" s="48">
        <f>IF('C.SOC'!F28=0," ",'C.SOC'!F28)</f>
        <v>22</v>
      </c>
      <c r="F26" s="48">
        <f>IF('E. FIS.'!F28=0," ",'E. FIS.'!F28)</f>
        <v>26</v>
      </c>
      <c r="G26" s="48">
        <f>IF(MUS.!F28=0," ",MUS.!F28)</f>
        <v>26</v>
      </c>
      <c r="H26" s="48">
        <f>IF('A.PL. '!F28=0," ",'A.PL. '!F28)</f>
        <v>29</v>
      </c>
      <c r="I26" s="48">
        <f>IF(MAT!F28=0," ",MAT!F28)</f>
        <v>18</v>
      </c>
      <c r="J26" s="48">
        <f>IF('T. TEC. GRAL'!F28=0," ",'T. TEC. GRAL'!F28)</f>
        <v>20</v>
      </c>
      <c r="K26" s="48">
        <f>IF('BIO-GEO'!F28=0," ",'BIO-GEO'!F28)</f>
        <v>24</v>
      </c>
      <c r="L26" s="48">
        <f>IF(PSI!F28=0," ",PSI!F28)</f>
        <v>28</v>
      </c>
      <c r="M26" s="48">
        <f>IF('REL.'!F28=0," ",'REL.'!F28)</f>
        <v>26</v>
      </c>
      <c r="N26" s="18"/>
    </row>
    <row r="27" spans="1:14" ht="17.100000000000001" customHeight="1">
      <c r="A27" s="48">
        <f>NOMINA!A29</f>
        <v>24</v>
      </c>
      <c r="B27" s="85" t="str">
        <f>NOMINA!B29</f>
        <v>PATZI GUARACHI MARIA BELEN</v>
      </c>
      <c r="C27" s="48">
        <f>IF(LEN!F29=0," ",LEN!F29)</f>
        <v>29</v>
      </c>
      <c r="D27" s="48">
        <f>IF(ING!F29=0," ",ING!F29)</f>
        <v>31</v>
      </c>
      <c r="E27" s="48">
        <f>IF('C.SOC'!F29=0," ",'C.SOC'!F29)</f>
        <v>23</v>
      </c>
      <c r="F27" s="48">
        <f>IF('E. FIS.'!F29=0," ",'E. FIS.'!F29)</f>
        <v>21</v>
      </c>
      <c r="G27" s="48">
        <f>IF(MUS.!F29=0," ",MUS.!F29)</f>
        <v>33</v>
      </c>
      <c r="H27" s="48">
        <f>IF('A.PL. '!F29=0," ",'A.PL. '!F29)</f>
        <v>21</v>
      </c>
      <c r="I27" s="48">
        <f>IF(MAT!F29=0," ",MAT!F29)</f>
        <v>32</v>
      </c>
      <c r="J27" s="48">
        <f>IF('T. TEC. GRAL'!F29=0," ",'T. TEC. GRAL'!F29)</f>
        <v>25</v>
      </c>
      <c r="K27" s="48">
        <f>IF('BIO-GEO'!F29=0," ",'BIO-GEO'!F29)</f>
        <v>29</v>
      </c>
      <c r="L27" s="48">
        <f>IF(PSI!F29=0," ",PSI!F29)</f>
        <v>29</v>
      </c>
      <c r="M27" s="48">
        <f>IF('REL.'!F29=0," ",'REL.'!F29)</f>
        <v>24</v>
      </c>
      <c r="N27" s="18"/>
    </row>
    <row r="28" spans="1:14" ht="17.100000000000001" customHeight="1">
      <c r="A28" s="48">
        <f>NOMINA!A30</f>
        <v>25</v>
      </c>
      <c r="B28" s="85" t="str">
        <f>NOMINA!B30</f>
        <v>QUENALLATA CESPEDES LUMAIDA YANISS</v>
      </c>
      <c r="C28" s="48">
        <f>IF(LEN!F30=0," ",LEN!F30)</f>
        <v>14</v>
      </c>
      <c r="D28" s="48">
        <f>IF(ING!F30=0," ",ING!F30)</f>
        <v>15</v>
      </c>
      <c r="E28" s="48">
        <f>IF('C.SOC'!F30=0," ",'C.SOC'!F30)</f>
        <v>13</v>
      </c>
      <c r="F28" s="48">
        <f>IF('E. FIS.'!F30=0," ",'E. FIS.'!F30)</f>
        <v>20</v>
      </c>
      <c r="G28" s="48">
        <f>IF(MUS.!F30=0," ",MUS.!F30)</f>
        <v>26</v>
      </c>
      <c r="H28" s="48">
        <f>IF('A.PL. '!F30=0," ",'A.PL. '!F30)</f>
        <v>19</v>
      </c>
      <c r="I28" s="48">
        <f>IF(MAT!F30=0," ",MAT!F30)</f>
        <v>18</v>
      </c>
      <c r="J28" s="48">
        <f>IF('T. TEC. GRAL'!F30=0," ",'T. TEC. GRAL'!F30)</f>
        <v>21</v>
      </c>
      <c r="K28" s="48">
        <f>IF('BIO-GEO'!F30=0," ",'BIO-GEO'!F30)</f>
        <v>24</v>
      </c>
      <c r="L28" s="48">
        <f>IF(PSI!F30=0," ",PSI!F30)</f>
        <v>13</v>
      </c>
      <c r="M28" s="48">
        <f>IF('REL.'!F30=0," ",'REL.'!F30)</f>
        <v>18</v>
      </c>
      <c r="N28" s="18"/>
    </row>
    <row r="29" spans="1:14" ht="17.100000000000001" customHeight="1">
      <c r="A29" s="48">
        <f>NOMINA!A31</f>
        <v>26</v>
      </c>
      <c r="B29" s="85" t="str">
        <f>NOMINA!B31</f>
        <v>QUISPE ESCARZA CIELO</v>
      </c>
      <c r="C29" s="48">
        <f>IF(LEN!F31=0," ",LEN!F31)</f>
        <v>16</v>
      </c>
      <c r="D29" s="48">
        <f>IF(ING!F31=0," ",ING!F31)</f>
        <v>17</v>
      </c>
      <c r="E29" s="48">
        <f>IF('C.SOC'!F31=0," ",'C.SOC'!F31)</f>
        <v>13</v>
      </c>
      <c r="F29" s="48">
        <f>IF('E. FIS.'!F31=0," ",'E. FIS.'!F31)</f>
        <v>18</v>
      </c>
      <c r="G29" s="48">
        <f>IF(MUS.!F31=0," ",MUS.!F31)</f>
        <v>16</v>
      </c>
      <c r="H29" s="48">
        <f>IF('A.PL. '!F31=0," ",'A.PL. '!F31)</f>
        <v>20</v>
      </c>
      <c r="I29" s="48">
        <f>IF(MAT!F31=0," ",MAT!F31)</f>
        <v>16</v>
      </c>
      <c r="J29" s="48">
        <f>IF('T. TEC. GRAL'!F31=0," ",'T. TEC. GRAL'!F31)</f>
        <v>13</v>
      </c>
      <c r="K29" s="48">
        <f>IF('BIO-GEO'!F31=0," ",'BIO-GEO'!F31)</f>
        <v>23</v>
      </c>
      <c r="L29" s="48">
        <f>IF(PSI!F31=0," ",PSI!F31)</f>
        <v>19</v>
      </c>
      <c r="M29" s="48">
        <f>IF('REL.'!F31=0," ",'REL.'!F31)</f>
        <v>21</v>
      </c>
      <c r="N29" s="18"/>
    </row>
    <row r="30" spans="1:14" ht="17.100000000000001" customHeight="1">
      <c r="A30" s="48">
        <f>NOMINA!A32</f>
        <v>27</v>
      </c>
      <c r="B30" s="85" t="str">
        <f>NOMINA!B32</f>
        <v>QUISPE MILAN ADRIAN ANTHONY</v>
      </c>
      <c r="C30" s="48">
        <f>IF(LEN!F32=0," ",LEN!F32)</f>
        <v>19</v>
      </c>
      <c r="D30" s="48">
        <f>IF(ING!F32=0," ",ING!F32)</f>
        <v>18</v>
      </c>
      <c r="E30" s="48">
        <f>IF('C.SOC'!F32=0," ",'C.SOC'!F32)</f>
        <v>15</v>
      </c>
      <c r="F30" s="48">
        <f>IF('E. FIS.'!F32=0," ",'E. FIS.'!F32)</f>
        <v>21</v>
      </c>
      <c r="G30" s="48">
        <f>IF(MUS.!F32=0," ",MUS.!F32)</f>
        <v>22</v>
      </c>
      <c r="H30" s="48">
        <f>IF('A.PL. '!F32=0," ",'A.PL. '!F32)</f>
        <v>20</v>
      </c>
      <c r="I30" s="48">
        <f>IF(MAT!F32=0," ",MAT!F32)</f>
        <v>21</v>
      </c>
      <c r="J30" s="48">
        <f>IF('T. TEC. GRAL'!F32=0," ",'T. TEC. GRAL'!F32)</f>
        <v>25</v>
      </c>
      <c r="K30" s="48">
        <f>IF('BIO-GEO'!F32=0," ",'BIO-GEO'!F32)</f>
        <v>26</v>
      </c>
      <c r="L30" s="48">
        <f>IF(PSI!F32=0," ",PSI!F32)</f>
        <v>24</v>
      </c>
      <c r="M30" s="48">
        <f>IF('REL.'!F32=0," ",'REL.'!F32)</f>
        <v>20</v>
      </c>
      <c r="N30" s="18"/>
    </row>
    <row r="31" spans="1:14" ht="17.100000000000001" customHeight="1">
      <c r="A31" s="48">
        <f>NOMINA!A33</f>
        <v>28</v>
      </c>
      <c r="B31" s="85" t="str">
        <f>NOMINA!B33</f>
        <v>ROMAN TITO MATEO</v>
      </c>
      <c r="C31" s="48">
        <f>IF(LEN!F33=0," ",LEN!F33)</f>
        <v>25</v>
      </c>
      <c r="D31" s="48">
        <f>IF(ING!F33=0," ",ING!F33)</f>
        <v>23</v>
      </c>
      <c r="E31" s="48">
        <f>IF('C.SOC'!F33=0," ",'C.SOC'!F33)</f>
        <v>21</v>
      </c>
      <c r="F31" s="48">
        <f>IF('E. FIS.'!F33=0," ",'E. FIS.'!F33)</f>
        <v>26</v>
      </c>
      <c r="G31" s="48">
        <f>IF(MUS.!F33=0," ",MUS.!F33)</f>
        <v>33</v>
      </c>
      <c r="H31" s="48">
        <f>IF('A.PL. '!F33=0," ",'A.PL. '!F33)</f>
        <v>23</v>
      </c>
      <c r="I31" s="48">
        <f>IF(MAT!F33=0," ",MAT!F33)</f>
        <v>29</v>
      </c>
      <c r="J31" s="48">
        <f>IF('T. TEC. GRAL'!F33=0," ",'T. TEC. GRAL'!F33)</f>
        <v>27</v>
      </c>
      <c r="K31" s="48">
        <f>IF('BIO-GEO'!F33=0," ",'BIO-GEO'!F33)</f>
        <v>27</v>
      </c>
      <c r="L31" s="48">
        <f>IF(PSI!F33=0," ",PSI!F33)</f>
        <v>28</v>
      </c>
      <c r="M31" s="48">
        <f>IF('REL.'!F33=0," ",'REL.'!F33)</f>
        <v>26</v>
      </c>
      <c r="N31" s="18"/>
    </row>
    <row r="32" spans="1:14" ht="17.100000000000001" customHeight="1">
      <c r="A32" s="48">
        <f>NOMINA!A34</f>
        <v>29</v>
      </c>
      <c r="B32" s="85" t="str">
        <f>NOMINA!B34</f>
        <v xml:space="preserve">SILES MAMANI JUSTIN ANGEL </v>
      </c>
      <c r="C32" s="48">
        <f>IF(LEN!F34=0," ",LEN!F34)</f>
        <v>18</v>
      </c>
      <c r="D32" s="48">
        <f>IF(ING!F34=0," ",ING!F34)</f>
        <v>24</v>
      </c>
      <c r="E32" s="48">
        <f>IF('C.SOC'!F34=0," ",'C.SOC'!F34)</f>
        <v>18</v>
      </c>
      <c r="F32" s="48">
        <f>IF('E. FIS.'!F34=0," ",'E. FIS.'!F34)</f>
        <v>22</v>
      </c>
      <c r="G32" s="48">
        <f>IF(MUS.!F34=0," ",MUS.!F34)</f>
        <v>23</v>
      </c>
      <c r="H32" s="48">
        <f>IF('A.PL. '!F34=0," ",'A.PL. '!F34)</f>
        <v>20</v>
      </c>
      <c r="I32" s="48">
        <f>IF(MAT!F34=0," ",MAT!F34)</f>
        <v>25</v>
      </c>
      <c r="J32" s="48">
        <f>IF('T. TEC. GRAL'!F34=0," ",'T. TEC. GRAL'!F34)</f>
        <v>22</v>
      </c>
      <c r="K32" s="48">
        <f>IF('BIO-GEO'!F34=0," ",'BIO-GEO'!F34)</f>
        <v>27</v>
      </c>
      <c r="L32" s="48">
        <f>IF(PSI!F34=0," ",PSI!F34)</f>
        <v>23</v>
      </c>
      <c r="M32" s="48">
        <f>IF('REL.'!F34=0," ",'REL.'!F34)</f>
        <v>21</v>
      </c>
      <c r="N32" s="18"/>
    </row>
    <row r="33" spans="1:15" ht="17.100000000000001" customHeight="1">
      <c r="A33" s="48">
        <f>NOMINA!A35</f>
        <v>30</v>
      </c>
      <c r="B33" s="85" t="str">
        <f>NOMINA!B35</f>
        <v>TERAN COCA DIEGO NICOLAS</v>
      </c>
      <c r="C33" s="48">
        <f>IF(LEN!F35=0," ",LEN!F35)</f>
        <v>20</v>
      </c>
      <c r="D33" s="48">
        <f>IF(ING!F35=0," ",ING!F35)</f>
        <v>22</v>
      </c>
      <c r="E33" s="48">
        <f>IF('C.SOC'!F35=0," ",'C.SOC'!F35)</f>
        <v>17</v>
      </c>
      <c r="F33" s="48">
        <f>IF('E. FIS.'!F35=0," ",'E. FIS.'!F35)</f>
        <v>22</v>
      </c>
      <c r="G33" s="48">
        <f>IF(MUS.!F35=0," ",MUS.!F35)</f>
        <v>24</v>
      </c>
      <c r="H33" s="48">
        <f>IF('A.PL. '!F35=0," ",'A.PL. '!F35)</f>
        <v>20</v>
      </c>
      <c r="I33" s="48">
        <f>IF(MAT!F35=0," ",MAT!F35)</f>
        <v>24</v>
      </c>
      <c r="J33" s="48">
        <f>IF('T. TEC. GRAL'!F35=0," ",'T. TEC. GRAL'!F35)</f>
        <v>19</v>
      </c>
      <c r="K33" s="48">
        <f>IF('BIO-GEO'!F35=0," ",'BIO-GEO'!F35)</f>
        <v>23</v>
      </c>
      <c r="L33" s="48">
        <f>IF(PSI!F35=0," ",PSI!F35)</f>
        <v>25</v>
      </c>
      <c r="M33" s="48">
        <f>IF('REL.'!F35=0," ",'REL.'!F35)</f>
        <v>23</v>
      </c>
      <c r="N33" s="18"/>
    </row>
    <row r="34" spans="1:15" ht="17.100000000000001" customHeight="1">
      <c r="A34" s="48">
        <f>NOMINA!A36</f>
        <v>31</v>
      </c>
      <c r="B34" s="85" t="str">
        <f>NOMINA!B36</f>
        <v>URIA LOPEZ SEBASTIAN ARIEL</v>
      </c>
      <c r="C34" s="48">
        <f>IF(LEN!F36=0," ",LEN!F36)</f>
        <v>17</v>
      </c>
      <c r="D34" s="48">
        <f>IF(ING!F36=0," ",ING!F36)</f>
        <v>17</v>
      </c>
      <c r="E34" s="48">
        <f>IF('C.SOC'!F36=0," ",'C.SOC'!F36)</f>
        <v>17</v>
      </c>
      <c r="F34" s="48">
        <f>IF('E. FIS.'!F36=0," ",'E. FIS.'!F36)</f>
        <v>27</v>
      </c>
      <c r="G34" s="48">
        <f>IF(MUS.!F36=0," ",MUS.!F36)</f>
        <v>24</v>
      </c>
      <c r="H34" s="48">
        <f>IF('A.PL. '!F36=0," ",'A.PL. '!F36)</f>
        <v>22</v>
      </c>
      <c r="I34" s="48">
        <f>IF(MAT!F36=0," ",MAT!F36)</f>
        <v>21</v>
      </c>
      <c r="J34" s="48">
        <f>IF('T. TEC. GRAL'!F36=0," ",'T. TEC. GRAL'!F36)</f>
        <v>20</v>
      </c>
      <c r="K34" s="48">
        <f>IF('BIO-GEO'!F36=0," ",'BIO-GEO'!F36)</f>
        <v>26</v>
      </c>
      <c r="L34" s="48">
        <f>IF(PSI!F36=0," ",PSI!F36)</f>
        <v>25</v>
      </c>
      <c r="M34" s="48">
        <f>IF('REL.'!F36=0," ",'REL.'!F36)</f>
        <v>21</v>
      </c>
      <c r="N34" s="18"/>
    </row>
    <row r="35" spans="1:15" ht="17.100000000000001" customHeight="1">
      <c r="A35" s="48">
        <f>NOMINA!A37</f>
        <v>32</v>
      </c>
      <c r="B35" s="85" t="str">
        <f>NOMINA!B37</f>
        <v>VASQUEZ ESPINOZA JHONATAN YAYCOB</v>
      </c>
      <c r="C35" s="48">
        <f>IF(LEN!F37=0," ",LEN!F37)</f>
        <v>19</v>
      </c>
      <c r="D35" s="48">
        <f>IF(ING!F37=0," ",ING!F37)</f>
        <v>17</v>
      </c>
      <c r="E35" s="48">
        <f>IF('C.SOC'!F37=0," ",'C.SOC'!F37)</f>
        <v>20</v>
      </c>
      <c r="F35" s="48">
        <f>IF('E. FIS.'!F37=0," ",'E. FIS.'!F37)</f>
        <v>23</v>
      </c>
      <c r="G35" s="48">
        <f>IF(MUS.!F37=0," ",MUS.!F37)</f>
        <v>25</v>
      </c>
      <c r="H35" s="48">
        <f>IF('A.PL. '!F37=0," ",'A.PL. '!F37)</f>
        <v>24</v>
      </c>
      <c r="I35" s="48">
        <f>IF(MAT!F37=0," ",MAT!F37)</f>
        <v>23</v>
      </c>
      <c r="J35" s="48">
        <f>IF('T. TEC. GRAL'!F37=0," ",'T. TEC. GRAL'!F37)</f>
        <v>26</v>
      </c>
      <c r="K35" s="48">
        <f>IF('BIO-GEO'!F37=0," ",'BIO-GEO'!F37)</f>
        <v>21</v>
      </c>
      <c r="L35" s="48">
        <f>IF(PSI!F37=0," ",PSI!F37)</f>
        <v>18</v>
      </c>
      <c r="M35" s="48">
        <f>IF('REL.'!F37=0," ",'REL.'!F37)</f>
        <v>21</v>
      </c>
      <c r="N35" s="18"/>
    </row>
    <row r="36" spans="1:15" ht="17.100000000000001" customHeight="1">
      <c r="A36" s="48">
        <f>NOMINA!A38</f>
        <v>33</v>
      </c>
      <c r="B36" s="85" t="str">
        <f>NOMINA!B38</f>
        <v>VEIZAGA LEDEZMA SEBASTIAN</v>
      </c>
      <c r="C36" s="48">
        <f>IF(LEN!F38=0," ",LEN!F38)</f>
        <v>22</v>
      </c>
      <c r="D36" s="48">
        <f>IF(ING!F38=0," ",ING!F38)</f>
        <v>23</v>
      </c>
      <c r="E36" s="48">
        <f>IF('C.SOC'!F38=0," ",'C.SOC'!F38)</f>
        <v>18</v>
      </c>
      <c r="F36" s="48">
        <f>IF('E. FIS.'!F38=0," ",'E. FIS.'!F38)</f>
        <v>23</v>
      </c>
      <c r="G36" s="48">
        <f>IF(MUS.!F38=0," ",MUS.!F38)</f>
        <v>29</v>
      </c>
      <c r="H36" s="48">
        <f>IF('A.PL. '!F38=0," ",'A.PL. '!F38)</f>
        <v>20</v>
      </c>
      <c r="I36" s="48">
        <f>IF(MAT!F38=0," ",MAT!F38)</f>
        <v>24</v>
      </c>
      <c r="J36" s="48">
        <f>IF('T. TEC. GRAL'!F38=0," ",'T. TEC. GRAL'!F38)</f>
        <v>22</v>
      </c>
      <c r="K36" s="48">
        <f>IF('BIO-GEO'!F38=0," ",'BIO-GEO'!F38)</f>
        <v>27</v>
      </c>
      <c r="L36" s="48">
        <f>IF(PSI!F38=0," ",PSI!F38)</f>
        <v>26</v>
      </c>
      <c r="M36" s="48">
        <f>IF('REL.'!F38=0," ",'REL.'!F38)</f>
        <v>22</v>
      </c>
      <c r="N36" s="18"/>
    </row>
    <row r="37" spans="1:15" ht="17.100000000000001" customHeight="1">
      <c r="A37" s="48">
        <f>NOMINA!A39</f>
        <v>34</v>
      </c>
      <c r="B37" s="85" t="str">
        <f>NOMINA!B39</f>
        <v>VILLARROEL CUCHILLO HUGO SEBASTIAN</v>
      </c>
      <c r="C37" s="48">
        <f>IF(LEN!F39=0," ",LEN!F39)</f>
        <v>17</v>
      </c>
      <c r="D37" s="48">
        <f>IF(ING!F39=0," ",ING!F39)</f>
        <v>18</v>
      </c>
      <c r="E37" s="48">
        <f>IF('C.SOC'!F39=0," ",'C.SOC'!F39)</f>
        <v>18</v>
      </c>
      <c r="F37" s="48">
        <f>IF('E. FIS.'!F39=0," ",'E. FIS.'!F39)</f>
        <v>22</v>
      </c>
      <c r="G37" s="48">
        <f>IF(MUS.!F39=0," ",MUS.!F39)</f>
        <v>21</v>
      </c>
      <c r="H37" s="48">
        <f>IF('A.PL. '!F39=0," ",'A.PL. '!F39)</f>
        <v>20</v>
      </c>
      <c r="I37" s="48">
        <f>IF(MAT!F39=0," ",MAT!F39)</f>
        <v>16</v>
      </c>
      <c r="J37" s="48">
        <f>IF('T. TEC. GRAL'!F39=0," ",'T. TEC. GRAL'!F39)</f>
        <v>18</v>
      </c>
      <c r="K37" s="48">
        <f>IF('BIO-GEO'!F39=0," ",'BIO-GEO'!F39)</f>
        <v>18</v>
      </c>
      <c r="L37" s="48">
        <f>IF(PSI!F39=0," ",PSI!F39)</f>
        <v>16</v>
      </c>
      <c r="M37" s="48">
        <f>IF('REL.'!F39=0," ",'REL.'!F39)</f>
        <v>20</v>
      </c>
      <c r="N37" s="18"/>
    </row>
    <row r="38" spans="1:15" ht="17.100000000000001" customHeight="1">
      <c r="A38" s="48">
        <f>NOMINA!A40</f>
        <v>35</v>
      </c>
      <c r="B38" s="85" t="str">
        <f>NOMINA!B40</f>
        <v>ZAMBRANA MENDEZ MIRCO ALEXANDER</v>
      </c>
      <c r="C38" s="48">
        <f>IF(LEN!F40=0," ",LEN!F40)</f>
        <v>15</v>
      </c>
      <c r="D38" s="48">
        <f>IF(ING!F40=0," ",ING!F40)</f>
        <v>14</v>
      </c>
      <c r="E38" s="48">
        <f>IF('C.SOC'!F40=0," ",'C.SOC'!F40)</f>
        <v>18</v>
      </c>
      <c r="F38" s="48">
        <f>IF('E. FIS.'!F40=0," ",'E. FIS.'!F40)</f>
        <v>17</v>
      </c>
      <c r="G38" s="48">
        <f>IF(MUS.!F40=0," ",MUS.!F40)</f>
        <v>19</v>
      </c>
      <c r="H38" s="48">
        <f>IF('A.PL. '!F40=0," ",'A.PL. '!F40)</f>
        <v>23</v>
      </c>
      <c r="I38" s="48">
        <f>IF(MAT!F40=0," ",MAT!F40)</f>
        <v>16</v>
      </c>
      <c r="J38" s="48">
        <f>IF('T. TEC. GRAL'!F40=0," ",'T. TEC. GRAL'!F40)</f>
        <v>14</v>
      </c>
      <c r="K38" s="48">
        <f>IF('BIO-GEO'!F40=0," ",'BIO-GEO'!F40)</f>
        <v>20</v>
      </c>
      <c r="L38" s="48">
        <f>IF(PSI!F40=0," ",PSI!F40)</f>
        <v>23</v>
      </c>
      <c r="M38" s="48">
        <f>IF('REL.'!F40=0," ",'REL.'!F40)</f>
        <v>17</v>
      </c>
      <c r="N38" s="18"/>
    </row>
    <row r="39" spans="1:15" ht="17.100000000000001" customHeight="1">
      <c r="A39" s="48">
        <f>NOMINA!A41</f>
        <v>36</v>
      </c>
      <c r="B39" s="85">
        <f>NOMINA!B41</f>
        <v>0</v>
      </c>
      <c r="C39" s="48" t="str">
        <f>IF(LEN!F41=0," ",LEN!F41)</f>
        <v xml:space="preserve"> </v>
      </c>
      <c r="D39" s="48" t="str">
        <f>IF(ING!F41=0," ",ING!F41)</f>
        <v xml:space="preserve"> </v>
      </c>
      <c r="E39" s="48" t="str">
        <f>IF('C.SOC'!F41=0," ",'C.SOC'!F41)</f>
        <v xml:space="preserve"> </v>
      </c>
      <c r="F39" s="48" t="str">
        <f>IF('E. FIS.'!F41=0," ",'E. FIS.'!F41)</f>
        <v xml:space="preserve"> </v>
      </c>
      <c r="G39" s="48" t="str">
        <f>IF(MUS.!F41=0," ",MUS.!F41)</f>
        <v xml:space="preserve"> </v>
      </c>
      <c r="H39" s="48" t="str">
        <f>IF('A.PL. '!F41=0," ",'A.PL. '!F41)</f>
        <v xml:space="preserve"> </v>
      </c>
      <c r="I39" s="48" t="str">
        <f>IF(MAT!F41=0," ",MAT!F41)</f>
        <v xml:space="preserve"> </v>
      </c>
      <c r="J39" s="48" t="str">
        <f>IF('T. TEC. GRAL'!F41=0," ",'T. TEC. GRAL'!F41)</f>
        <v xml:space="preserve"> </v>
      </c>
      <c r="K39" s="48" t="str">
        <f>IF('BIO-GEO'!F41=0," ",'BIO-GEO'!F41)</f>
        <v xml:space="preserve"> </v>
      </c>
      <c r="L39" s="48" t="str">
        <f>IF(PSI!F41=0," ",PSI!F41)</f>
        <v xml:space="preserve"> </v>
      </c>
      <c r="M39" s="48" t="str">
        <f>IF('REL.'!F41=0," ",'REL.'!F41)</f>
        <v xml:space="preserve"> </v>
      </c>
      <c r="N39" s="18"/>
    </row>
    <row r="40" spans="1:15" ht="17.100000000000001" customHeight="1">
      <c r="A40" s="48">
        <f>NOMINA!A42</f>
        <v>37</v>
      </c>
      <c r="B40" s="85">
        <f>NOMINA!B42</f>
        <v>0</v>
      </c>
      <c r="C40" s="48" t="str">
        <f>IF(LEN!F42=0," ",LEN!F42)</f>
        <v xml:space="preserve"> </v>
      </c>
      <c r="D40" s="48" t="str">
        <f>IF(ING!F42=0," ",ING!F42)</f>
        <v xml:space="preserve"> </v>
      </c>
      <c r="E40" s="48" t="str">
        <f>IF('C.SOC'!F42=0," ",'C.SOC'!F42)</f>
        <v xml:space="preserve"> </v>
      </c>
      <c r="F40" s="48" t="str">
        <f>IF('E. FIS.'!F42=0," ",'E. FIS.'!F42)</f>
        <v xml:space="preserve"> </v>
      </c>
      <c r="G40" s="48" t="str">
        <f>IF(MUS.!F42=0," ",MUS.!F42)</f>
        <v xml:space="preserve"> </v>
      </c>
      <c r="H40" s="48" t="str">
        <f>IF('A.PL. '!F42=0," ",'A.PL. '!F42)</f>
        <v xml:space="preserve"> </v>
      </c>
      <c r="I40" s="48" t="str">
        <f>IF(MAT!F42=0," ",MAT!F42)</f>
        <v xml:space="preserve"> </v>
      </c>
      <c r="J40" s="48" t="str">
        <f>IF('T. TEC. GRAL'!F42=0," ",'T. TEC. GRAL'!F42)</f>
        <v xml:space="preserve"> </v>
      </c>
      <c r="K40" s="48" t="str">
        <f>IF('BIO-GEO'!F42=0," ",'BIO-GEO'!F42)</f>
        <v xml:space="preserve"> </v>
      </c>
      <c r="L40" s="48" t="str">
        <f>IF(PSI!F42=0," ",PSI!F42)</f>
        <v xml:space="preserve"> </v>
      </c>
      <c r="M40" s="48" t="str">
        <f>IF('REL.'!F42=0," ",'REL.'!F42)</f>
        <v xml:space="preserve"> </v>
      </c>
      <c r="N40" s="18"/>
    </row>
    <row r="41" spans="1:15" ht="17.100000000000001" customHeight="1">
      <c r="A41" s="48">
        <f>NOMINA!A43</f>
        <v>38</v>
      </c>
      <c r="B41" s="85">
        <f>NOMINA!B43</f>
        <v>0</v>
      </c>
      <c r="C41" s="48" t="str">
        <f>IF(LEN!F43=0," ",LEN!F43)</f>
        <v xml:space="preserve"> </v>
      </c>
      <c r="D41" s="48" t="str">
        <f>IF(ING!F43=0," ",ING!F43)</f>
        <v xml:space="preserve"> </v>
      </c>
      <c r="E41" s="48" t="str">
        <f>IF('C.SOC'!F43=0," ",'C.SOC'!F43)</f>
        <v xml:space="preserve"> </v>
      </c>
      <c r="F41" s="48" t="str">
        <f>IF('E. FIS.'!F43=0," ",'E. FIS.'!F43)</f>
        <v xml:space="preserve"> </v>
      </c>
      <c r="G41" s="48" t="str">
        <f>IF(MUS.!F43=0," ",MUS.!F43)</f>
        <v xml:space="preserve"> </v>
      </c>
      <c r="H41" s="48" t="str">
        <f>IF('A.PL. '!F43=0," ",'A.PL. '!F43)</f>
        <v xml:space="preserve"> </v>
      </c>
      <c r="I41" s="48" t="str">
        <f>IF(MAT!F43=0," ",MAT!F43)</f>
        <v xml:space="preserve"> </v>
      </c>
      <c r="J41" s="48" t="str">
        <f>IF('T. TEC. GRAL'!F43=0," ",'T. TEC. GRAL'!F43)</f>
        <v xml:space="preserve"> </v>
      </c>
      <c r="K41" s="48" t="str">
        <f>IF('BIO-GEO'!F43=0," ",'BIO-GEO'!F43)</f>
        <v xml:space="preserve"> </v>
      </c>
      <c r="L41" s="48" t="str">
        <f>IF(PSI!F43=0," ",PSI!F43)</f>
        <v xml:space="preserve"> </v>
      </c>
      <c r="M41" s="48" t="str">
        <f>IF('REL.'!F43=0," ",'REL.'!F43)</f>
        <v xml:space="preserve"> </v>
      </c>
      <c r="N41" s="18"/>
    </row>
    <row r="42" spans="1:15" ht="17.100000000000001" customHeight="1">
      <c r="A42" s="48">
        <f>NOMINA!A44</f>
        <v>39</v>
      </c>
      <c r="B42" s="85">
        <f>NOMINA!B44</f>
        <v>0</v>
      </c>
      <c r="C42" s="48" t="str">
        <f>IF(LEN!F44=0," ",LEN!F44)</f>
        <v xml:space="preserve"> </v>
      </c>
      <c r="D42" s="48" t="str">
        <f>IF(ING!F44=0," ",ING!F44)</f>
        <v xml:space="preserve"> </v>
      </c>
      <c r="E42" s="48" t="str">
        <f>IF('C.SOC'!F44=0," ",'C.SOC'!F44)</f>
        <v xml:space="preserve"> </v>
      </c>
      <c r="F42" s="48" t="str">
        <f>IF('E. FIS.'!F44=0," ",'E. FIS.'!F44)</f>
        <v xml:space="preserve"> </v>
      </c>
      <c r="G42" s="48" t="str">
        <f>IF(MUS.!F44=0," ",MUS.!F44)</f>
        <v xml:space="preserve"> </v>
      </c>
      <c r="H42" s="48" t="str">
        <f>IF('A.PL. '!F44=0," ",'A.PL. '!F44)</f>
        <v xml:space="preserve"> </v>
      </c>
      <c r="I42" s="48" t="str">
        <f>IF(MAT!F44=0," ",MAT!F44)</f>
        <v xml:space="preserve"> </v>
      </c>
      <c r="J42" s="48" t="str">
        <f>IF('T. TEC. GRAL'!F44=0," ",'T. TEC. GRAL'!F44)</f>
        <v xml:space="preserve"> </v>
      </c>
      <c r="K42" s="48" t="str">
        <f>IF('BIO-GEO'!F44=0," ",'BIO-GEO'!F44)</f>
        <v xml:space="preserve"> </v>
      </c>
      <c r="L42" s="48" t="str">
        <f>IF(PSI!F44=0," ",PSI!F44)</f>
        <v xml:space="preserve"> </v>
      </c>
      <c r="M42" s="48" t="str">
        <f>IF('REL.'!F44=0," ",'REL.'!F44)</f>
        <v xml:space="preserve"> </v>
      </c>
      <c r="N42" s="18"/>
    </row>
    <row r="43" spans="1:15" ht="17.100000000000001" customHeight="1">
      <c r="A43" s="48">
        <f>NOMINA!A45</f>
        <v>40</v>
      </c>
      <c r="B43" s="85">
        <f>NOMINA!B45</f>
        <v>0</v>
      </c>
      <c r="C43" s="48" t="str">
        <f>IF(LEN!F45=0," ",LEN!F45)</f>
        <v xml:space="preserve"> </v>
      </c>
      <c r="D43" s="48" t="str">
        <f>IF(ING!F45=0," ",ING!F45)</f>
        <v xml:space="preserve"> </v>
      </c>
      <c r="E43" s="48" t="str">
        <f>IF('C.SOC'!F45=0," ",'C.SOC'!F45)</f>
        <v xml:space="preserve"> </v>
      </c>
      <c r="F43" s="48" t="str">
        <f>IF('E. FIS.'!F45=0," ",'E. FIS.'!F45)</f>
        <v xml:space="preserve"> </v>
      </c>
      <c r="G43" s="48" t="str">
        <f>IF(MUS.!F45=0," ",MUS.!F45)</f>
        <v xml:space="preserve"> </v>
      </c>
      <c r="H43" s="48" t="str">
        <f>IF('A.PL. '!F45=0," ",'A.PL. '!F45)</f>
        <v xml:space="preserve"> </v>
      </c>
      <c r="I43" s="48" t="str">
        <f>IF(MAT!F45=0," ",MAT!F45)</f>
        <v xml:space="preserve"> </v>
      </c>
      <c r="J43" s="48" t="str">
        <f>IF('T. TEC. GRAL'!F45=0," ",'T. TEC. GRAL'!F45)</f>
        <v xml:space="preserve"> </v>
      </c>
      <c r="K43" s="48" t="str">
        <f>IF('BIO-GEO'!F45=0," ",'BIO-GEO'!F45)</f>
        <v xml:space="preserve"> </v>
      </c>
      <c r="L43" s="48" t="str">
        <f>IF(PSI!F45=0," ",PSI!F45)</f>
        <v xml:space="preserve"> </v>
      </c>
      <c r="M43" s="48" t="str">
        <f>IF('REL.'!F45=0," ",'REL.'!F45)</f>
        <v xml:space="preserve"> </v>
      </c>
      <c r="N43" s="18"/>
    </row>
    <row r="44" spans="1:15" ht="17.100000000000001" customHeight="1">
      <c r="A44" s="48">
        <f>NOMINA!A46</f>
        <v>41</v>
      </c>
      <c r="B44" s="85">
        <f>NOMINA!B46</f>
        <v>0</v>
      </c>
      <c r="C44" s="48" t="str">
        <f>IF(LEN!F46=0," ",LEN!F46)</f>
        <v xml:space="preserve"> </v>
      </c>
      <c r="D44" s="48" t="str">
        <f>IF(ING!F46=0," ",ING!F46)</f>
        <v xml:space="preserve"> </v>
      </c>
      <c r="E44" s="48" t="str">
        <f>IF('C.SOC'!F46=0," ",'C.SOC'!F46)</f>
        <v xml:space="preserve"> </v>
      </c>
      <c r="F44" s="48" t="str">
        <f>IF('E. FIS.'!F46=0," ",'E. FIS.'!F46)</f>
        <v xml:space="preserve"> </v>
      </c>
      <c r="G44" s="48" t="str">
        <f>IF(MUS.!F46=0," ",MUS.!F46)</f>
        <v xml:space="preserve"> </v>
      </c>
      <c r="H44" s="48" t="str">
        <f>IF('A.PL. '!F46=0," ",'A.PL. '!F46)</f>
        <v xml:space="preserve"> </v>
      </c>
      <c r="I44" s="48" t="str">
        <f>IF(MAT!F46=0," ",MAT!F46)</f>
        <v xml:space="preserve"> </v>
      </c>
      <c r="J44" s="48" t="str">
        <f>IF('T. TEC. GRAL'!F46=0," ",'T. TEC. GRAL'!F46)</f>
        <v xml:space="preserve"> </v>
      </c>
      <c r="K44" s="48" t="str">
        <f>IF('BIO-GEO'!F46=0," ",'BIO-GEO'!F46)</f>
        <v xml:space="preserve"> </v>
      </c>
      <c r="L44" s="48" t="str">
        <f>IF(PSI!F46=0," ",PSI!F46)</f>
        <v xml:space="preserve"> </v>
      </c>
      <c r="M44" s="48" t="str">
        <f>IF('REL.'!F46=0," ",'REL.'!F46)</f>
        <v xml:space="preserve"> </v>
      </c>
      <c r="N44" s="18"/>
    </row>
    <row r="45" spans="1:15" ht="15" customHeight="1">
      <c r="A45" s="18"/>
      <c r="B45" s="86"/>
      <c r="C45" s="18"/>
      <c r="D45" s="18"/>
      <c r="E45" s="18"/>
      <c r="F45" s="18"/>
      <c r="G45" s="18"/>
      <c r="H45" s="18"/>
      <c r="I45" s="18"/>
      <c r="J45" s="18"/>
      <c r="K45" s="18"/>
      <c r="L45" s="18"/>
      <c r="M45" s="18"/>
      <c r="N45" s="18"/>
    </row>
    <row r="46" spans="1:15" ht="17.100000000000001" customHeight="1">
      <c r="A46" s="18"/>
      <c r="B46" s="87" t="s">
        <v>21</v>
      </c>
      <c r="C46" s="88">
        <f>COUNTIF(C4:C44,"&gt;50")</f>
        <v>0</v>
      </c>
      <c r="D46" s="88">
        <f t="shared" ref="D46:M46" si="0">COUNTIF(D4:D44,"&gt;50")</f>
        <v>0</v>
      </c>
      <c r="E46" s="88">
        <f t="shared" si="0"/>
        <v>0</v>
      </c>
      <c r="F46" s="88">
        <f t="shared" si="0"/>
        <v>0</v>
      </c>
      <c r="G46" s="88">
        <f t="shared" si="0"/>
        <v>0</v>
      </c>
      <c r="H46" s="88">
        <f t="shared" si="0"/>
        <v>0</v>
      </c>
      <c r="I46" s="88">
        <f t="shared" si="0"/>
        <v>0</v>
      </c>
      <c r="J46" s="88">
        <f t="shared" si="0"/>
        <v>0</v>
      </c>
      <c r="K46" s="88">
        <f t="shared" si="0"/>
        <v>0</v>
      </c>
      <c r="L46" s="88">
        <f t="shared" si="0"/>
        <v>0</v>
      </c>
      <c r="M46" s="88">
        <f t="shared" si="0"/>
        <v>0</v>
      </c>
      <c r="N46" s="18"/>
      <c r="O46" s="171"/>
    </row>
    <row r="47" spans="1:15" ht="17.100000000000001" customHeight="1">
      <c r="A47" s="18"/>
      <c r="B47" s="87" t="s">
        <v>22</v>
      </c>
      <c r="C47" s="88">
        <f>COUNTIF(C4:C44,"&lt;51")</f>
        <v>35</v>
      </c>
      <c r="D47" s="88">
        <f t="shared" ref="D47:M47" si="1">COUNTIF(D4:D44,"&lt;51")</f>
        <v>35</v>
      </c>
      <c r="E47" s="88">
        <f t="shared" si="1"/>
        <v>35</v>
      </c>
      <c r="F47" s="88">
        <f t="shared" si="1"/>
        <v>35</v>
      </c>
      <c r="G47" s="88">
        <f t="shared" si="1"/>
        <v>35</v>
      </c>
      <c r="H47" s="88">
        <f t="shared" si="1"/>
        <v>35</v>
      </c>
      <c r="I47" s="88">
        <f t="shared" si="1"/>
        <v>35</v>
      </c>
      <c r="J47" s="88">
        <f t="shared" si="1"/>
        <v>35</v>
      </c>
      <c r="K47" s="88">
        <f t="shared" si="1"/>
        <v>35</v>
      </c>
      <c r="L47" s="88">
        <f t="shared" si="1"/>
        <v>35</v>
      </c>
      <c r="M47" s="88">
        <f t="shared" si="1"/>
        <v>35</v>
      </c>
      <c r="N47" s="18"/>
      <c r="O47" s="171"/>
    </row>
    <row r="48" spans="1:15" ht="17.100000000000001" customHeight="1">
      <c r="A48" s="18"/>
      <c r="B48" s="89" t="s">
        <v>27</v>
      </c>
      <c r="C48" s="90">
        <f>SUM(C46:C47)</f>
        <v>35</v>
      </c>
      <c r="D48" s="90">
        <f t="shared" ref="D48:M48" si="2">SUM(D46:D47)</f>
        <v>35</v>
      </c>
      <c r="E48" s="90">
        <f t="shared" si="2"/>
        <v>35</v>
      </c>
      <c r="F48" s="90">
        <f t="shared" si="2"/>
        <v>35</v>
      </c>
      <c r="G48" s="90">
        <f t="shared" si="2"/>
        <v>35</v>
      </c>
      <c r="H48" s="90">
        <f t="shared" si="2"/>
        <v>35</v>
      </c>
      <c r="I48" s="90">
        <f t="shared" si="2"/>
        <v>35</v>
      </c>
      <c r="J48" s="90">
        <f t="shared" si="2"/>
        <v>35</v>
      </c>
      <c r="K48" s="90">
        <f t="shared" si="2"/>
        <v>35</v>
      </c>
      <c r="L48" s="90">
        <f t="shared" si="2"/>
        <v>35</v>
      </c>
      <c r="M48" s="90">
        <f t="shared" si="2"/>
        <v>35</v>
      </c>
      <c r="N48" s="18"/>
      <c r="O48" s="171"/>
    </row>
    <row r="49" spans="1:16" ht="13.5" customHeight="1">
      <c r="A49" s="18"/>
      <c r="B49" s="18"/>
      <c r="C49" s="18"/>
      <c r="D49" s="18"/>
      <c r="E49" s="18"/>
      <c r="F49" s="18"/>
      <c r="G49" s="18"/>
      <c r="H49" s="18"/>
      <c r="I49" s="18"/>
      <c r="J49" s="18"/>
      <c r="K49" s="18"/>
      <c r="L49" s="18"/>
      <c r="M49" s="18"/>
      <c r="N49" s="18"/>
      <c r="O49" s="171"/>
    </row>
    <row r="50" spans="1:16" ht="17.100000000000001" customHeight="1">
      <c r="A50" s="18"/>
      <c r="B50" s="91" t="s">
        <v>29</v>
      </c>
      <c r="C50" s="193">
        <f t="shared" ref="C50:I50" si="3">((C46/C48)*100)</f>
        <v>0</v>
      </c>
      <c r="D50" s="193">
        <f t="shared" si="3"/>
        <v>0</v>
      </c>
      <c r="E50" s="193">
        <f t="shared" si="3"/>
        <v>0</v>
      </c>
      <c r="F50" s="193">
        <f t="shared" si="3"/>
        <v>0</v>
      </c>
      <c r="G50" s="193">
        <f t="shared" si="3"/>
        <v>0</v>
      </c>
      <c r="H50" s="193">
        <f t="shared" si="3"/>
        <v>0</v>
      </c>
      <c r="I50" s="193">
        <f t="shared" si="3"/>
        <v>0</v>
      </c>
      <c r="J50" s="193">
        <f t="shared" ref="J50:M50" si="4">((J46/J48)*100)</f>
        <v>0</v>
      </c>
      <c r="K50" s="193">
        <f t="shared" si="4"/>
        <v>0</v>
      </c>
      <c r="L50" s="193">
        <f t="shared" si="4"/>
        <v>0</v>
      </c>
      <c r="M50" s="193">
        <f t="shared" si="4"/>
        <v>0</v>
      </c>
      <c r="N50" s="18"/>
      <c r="O50" s="172">
        <f>AVERAGE(C50:M50)</f>
        <v>0</v>
      </c>
    </row>
    <row r="51" spans="1:16" ht="17.100000000000001" customHeight="1">
      <c r="A51" s="18"/>
      <c r="B51" s="91" t="s">
        <v>28</v>
      </c>
      <c r="C51" s="170">
        <f>100-C50</f>
        <v>100</v>
      </c>
      <c r="D51" s="170">
        <f t="shared" ref="D51:M51" si="5">100-D50</f>
        <v>100</v>
      </c>
      <c r="E51" s="170">
        <f t="shared" si="5"/>
        <v>100</v>
      </c>
      <c r="F51" s="170">
        <f t="shared" si="5"/>
        <v>100</v>
      </c>
      <c r="G51" s="170">
        <f t="shared" si="5"/>
        <v>100</v>
      </c>
      <c r="H51" s="170">
        <f t="shared" si="5"/>
        <v>100</v>
      </c>
      <c r="I51" s="170">
        <f t="shared" si="5"/>
        <v>100</v>
      </c>
      <c r="J51" s="170">
        <f t="shared" si="5"/>
        <v>100</v>
      </c>
      <c r="K51" s="170">
        <f t="shared" si="5"/>
        <v>100</v>
      </c>
      <c r="L51" s="170">
        <f t="shared" si="5"/>
        <v>100</v>
      </c>
      <c r="M51" s="170">
        <f t="shared" si="5"/>
        <v>100</v>
      </c>
      <c r="N51" s="18"/>
      <c r="O51" s="172">
        <f>AVERAGE(C51:M51)</f>
        <v>100</v>
      </c>
    </row>
    <row r="52" spans="1:16">
      <c r="A52" s="18"/>
      <c r="B52" s="18"/>
      <c r="C52" s="18"/>
      <c r="D52" s="18"/>
      <c r="E52" s="18"/>
      <c r="F52" s="18"/>
      <c r="G52" s="18"/>
      <c r="H52" s="18"/>
      <c r="I52" s="18"/>
      <c r="J52" s="18"/>
      <c r="K52" s="18"/>
      <c r="L52" s="18"/>
      <c r="M52" s="18"/>
      <c r="N52" s="18"/>
    </row>
    <row r="53" spans="1:16">
      <c r="A53" s="18"/>
      <c r="B53" s="18"/>
      <c r="C53" s="18"/>
      <c r="D53" s="18"/>
      <c r="E53" s="18"/>
      <c r="F53" s="18"/>
      <c r="G53" s="18"/>
      <c r="H53" s="18"/>
      <c r="I53" s="18"/>
      <c r="J53" s="18"/>
      <c r="K53" s="18"/>
      <c r="L53" s="18"/>
      <c r="M53" s="18"/>
      <c r="N53" s="18"/>
    </row>
    <row r="54" spans="1:16">
      <c r="A54" s="18"/>
      <c r="B54" s="18"/>
      <c r="C54" s="18"/>
      <c r="D54" s="18"/>
      <c r="E54" s="18"/>
      <c r="F54" s="18"/>
      <c r="G54" s="18"/>
      <c r="H54" s="18"/>
      <c r="I54" s="18"/>
      <c r="J54" s="18"/>
      <c r="K54" s="18"/>
      <c r="L54" s="18"/>
      <c r="M54" s="18"/>
      <c r="N54" s="18"/>
    </row>
    <row r="55" spans="1:16">
      <c r="A55" s="18"/>
      <c r="B55" s="18"/>
      <c r="C55" s="18"/>
      <c r="D55" s="18"/>
      <c r="E55" s="18"/>
      <c r="F55" s="18"/>
      <c r="G55" s="18"/>
      <c r="H55" s="18"/>
      <c r="I55" s="18"/>
      <c r="J55" s="18"/>
      <c r="K55" s="18"/>
      <c r="L55" s="18"/>
      <c r="M55" s="18"/>
      <c r="N55" s="18"/>
    </row>
    <row r="57" spans="1:16">
      <c r="P57" s="136"/>
    </row>
  </sheetData>
  <mergeCells count="1">
    <mergeCell ref="D1:L1"/>
  </mergeCells>
  <conditionalFormatting sqref="C4:M44">
    <cfRule type="cellIs" dxfId="3" priority="1" operator="lessThan">
      <formula>51</formula>
    </cfRule>
  </conditionalFormatting>
  <conditionalFormatting sqref="C4:M45">
    <cfRule type="cellIs" dxfId="2" priority="3" operator="lessThan">
      <formula>36</formula>
    </cfRule>
  </conditionalFormatting>
  <pageMargins left="0.5" right="0.52" top="0.39" bottom="0.37" header="0.3" footer="0.3"/>
  <pageSetup orientation="portrait" horizontalDpi="4294967293"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Hoja22">
    <tabColor theme="5" tint="-0.249977111117893"/>
  </sheetPr>
  <dimension ref="A1:AT56"/>
  <sheetViews>
    <sheetView topLeftCell="A31" zoomScaleNormal="100" workbookViewId="0">
      <selection activeCell="A45" sqref="A45:XFD45"/>
    </sheetView>
  </sheetViews>
  <sheetFormatPr defaultColWidth="11.42578125" defaultRowHeight="15"/>
  <cols>
    <col min="1" max="1" width="2.7109375" customWidth="1"/>
    <col min="2" max="2" width="41" bestFit="1" customWidth="1"/>
    <col min="3" max="3" width="11.140625" style="213" customWidth="1"/>
    <col min="4" max="6" width="14.7109375" style="213" hidden="1" customWidth="1"/>
    <col min="7" max="7" width="10.7109375" style="213" customWidth="1"/>
    <col min="8" max="10" width="14.7109375" style="213" hidden="1" customWidth="1"/>
    <col min="11" max="11" width="12.42578125" style="213" customWidth="1"/>
    <col min="12" max="14" width="14.7109375" style="213" hidden="1" customWidth="1"/>
    <col min="15" max="15" width="11" style="213" customWidth="1"/>
    <col min="16" max="18" width="14.7109375" style="213" hidden="1" customWidth="1"/>
    <col min="19" max="19" width="11.140625" style="213" customWidth="1"/>
    <col min="20" max="22" width="14.7109375" style="213" hidden="1" customWidth="1"/>
    <col min="23" max="23" width="13.42578125" style="213" customWidth="1"/>
    <col min="24" max="26" width="14.7109375" style="213" hidden="1" customWidth="1"/>
    <col min="27" max="27" width="14.7109375" style="213" customWidth="1"/>
    <col min="28" max="30" width="14.7109375" style="213" hidden="1" customWidth="1"/>
    <col min="31" max="31" width="14.7109375" style="213" customWidth="1"/>
    <col min="32" max="34" width="14.7109375" style="213" hidden="1" customWidth="1"/>
    <col min="35" max="35" width="11.7109375" style="213" customWidth="1"/>
    <col min="36" max="38" width="14.7109375" style="213" hidden="1" customWidth="1"/>
    <col min="39" max="39" width="13.140625" style="213" customWidth="1"/>
    <col min="40" max="42" width="14.7109375" style="213" hidden="1" customWidth="1"/>
    <col min="43" max="43" width="10.85546875" style="213" customWidth="1"/>
    <col min="44" max="46" width="14.7109375" hidden="1" customWidth="1"/>
  </cols>
  <sheetData>
    <row r="1" spans="1:46" ht="15.75" customHeight="1" thickTop="1">
      <c r="A1" s="83"/>
      <c r="B1" s="326" t="str">
        <f>NOMINA!$B$2</f>
        <v>CURSO 2A</v>
      </c>
      <c r="C1" s="372" t="s">
        <v>36</v>
      </c>
      <c r="D1" s="369"/>
      <c r="E1" s="369"/>
      <c r="F1" s="373"/>
      <c r="G1" s="369" t="s">
        <v>10</v>
      </c>
      <c r="H1" s="369"/>
      <c r="I1" s="369"/>
      <c r="J1" s="373"/>
      <c r="K1" s="362" t="s">
        <v>58</v>
      </c>
      <c r="L1" s="363"/>
      <c r="M1" s="363"/>
      <c r="N1" s="364"/>
      <c r="O1" s="371" t="s">
        <v>59</v>
      </c>
      <c r="P1" s="363"/>
      <c r="Q1" s="363"/>
      <c r="R1" s="365"/>
      <c r="S1" s="362" t="s">
        <v>44</v>
      </c>
      <c r="T1" s="363"/>
      <c r="U1" s="363"/>
      <c r="V1" s="364"/>
      <c r="W1" s="371" t="s">
        <v>60</v>
      </c>
      <c r="X1" s="363"/>
      <c r="Y1" s="363"/>
      <c r="Z1" s="365"/>
      <c r="AA1" s="374" t="s">
        <v>8</v>
      </c>
      <c r="AB1" s="375"/>
      <c r="AC1" s="375"/>
      <c r="AD1" s="368"/>
      <c r="AE1" s="368" t="s">
        <v>101</v>
      </c>
      <c r="AF1" s="369"/>
      <c r="AG1" s="369"/>
      <c r="AH1" s="370"/>
      <c r="AI1" s="371" t="s">
        <v>48</v>
      </c>
      <c r="AJ1" s="363"/>
      <c r="AK1" s="363"/>
      <c r="AL1" s="364"/>
      <c r="AM1" s="362" t="s">
        <v>54</v>
      </c>
      <c r="AN1" s="363"/>
      <c r="AO1" s="363"/>
      <c r="AP1" s="365"/>
      <c r="AQ1" s="362" t="s">
        <v>65</v>
      </c>
      <c r="AR1" s="363"/>
      <c r="AS1" s="363"/>
      <c r="AT1" s="364"/>
    </row>
    <row r="2" spans="1:46" ht="15" customHeight="1">
      <c r="A2" s="92"/>
      <c r="B2" s="327"/>
      <c r="C2" s="367" t="s">
        <v>89</v>
      </c>
      <c r="D2" s="320" t="s">
        <v>90</v>
      </c>
      <c r="E2" s="320" t="s">
        <v>87</v>
      </c>
      <c r="F2" s="328" t="s">
        <v>31</v>
      </c>
      <c r="G2" s="367" t="s">
        <v>89</v>
      </c>
      <c r="H2" s="320" t="s">
        <v>90</v>
      </c>
      <c r="I2" s="320" t="s">
        <v>87</v>
      </c>
      <c r="J2" s="328" t="s">
        <v>31</v>
      </c>
      <c r="K2" s="367" t="s">
        <v>89</v>
      </c>
      <c r="L2" s="320" t="s">
        <v>90</v>
      </c>
      <c r="M2" s="320" t="s">
        <v>87</v>
      </c>
      <c r="N2" s="328" t="s">
        <v>31</v>
      </c>
      <c r="O2" s="367" t="s">
        <v>89</v>
      </c>
      <c r="P2" s="320" t="s">
        <v>90</v>
      </c>
      <c r="Q2" s="320" t="s">
        <v>87</v>
      </c>
      <c r="R2" s="328" t="s">
        <v>31</v>
      </c>
      <c r="S2" s="367" t="s">
        <v>89</v>
      </c>
      <c r="T2" s="320" t="s">
        <v>90</v>
      </c>
      <c r="U2" s="320" t="s">
        <v>87</v>
      </c>
      <c r="V2" s="328" t="s">
        <v>31</v>
      </c>
      <c r="W2" s="367" t="s">
        <v>89</v>
      </c>
      <c r="X2" s="320" t="s">
        <v>90</v>
      </c>
      <c r="Y2" s="320" t="s">
        <v>87</v>
      </c>
      <c r="Z2" s="328" t="s">
        <v>31</v>
      </c>
      <c r="AA2" s="367" t="s">
        <v>89</v>
      </c>
      <c r="AB2" s="320" t="s">
        <v>90</v>
      </c>
      <c r="AC2" s="320" t="s">
        <v>87</v>
      </c>
      <c r="AD2" s="328" t="s">
        <v>31</v>
      </c>
      <c r="AE2" s="367" t="s">
        <v>89</v>
      </c>
      <c r="AF2" s="320" t="s">
        <v>90</v>
      </c>
      <c r="AG2" s="320" t="s">
        <v>87</v>
      </c>
      <c r="AH2" s="328" t="s">
        <v>31</v>
      </c>
      <c r="AI2" s="367" t="s">
        <v>89</v>
      </c>
      <c r="AJ2" s="320" t="s">
        <v>90</v>
      </c>
      <c r="AK2" s="320" t="s">
        <v>87</v>
      </c>
      <c r="AL2" s="328" t="s">
        <v>31</v>
      </c>
      <c r="AM2" s="367" t="s">
        <v>89</v>
      </c>
      <c r="AN2" s="320" t="s">
        <v>90</v>
      </c>
      <c r="AO2" s="320" t="s">
        <v>87</v>
      </c>
      <c r="AP2" s="328" t="s">
        <v>31</v>
      </c>
      <c r="AQ2" s="367" t="s">
        <v>89</v>
      </c>
      <c r="AR2" s="320" t="s">
        <v>90</v>
      </c>
      <c r="AS2" s="320" t="s">
        <v>87</v>
      </c>
      <c r="AT2" s="328" t="s">
        <v>31</v>
      </c>
    </row>
    <row r="3" spans="1:46" ht="23.25" customHeight="1">
      <c r="A3" s="93"/>
      <c r="B3" s="94" t="s">
        <v>20</v>
      </c>
      <c r="C3" s="367"/>
      <c r="D3" s="320"/>
      <c r="E3" s="320"/>
      <c r="F3" s="366"/>
      <c r="G3" s="367"/>
      <c r="H3" s="320"/>
      <c r="I3" s="320"/>
      <c r="J3" s="366"/>
      <c r="K3" s="367"/>
      <c r="L3" s="320"/>
      <c r="M3" s="320"/>
      <c r="N3" s="366"/>
      <c r="O3" s="367"/>
      <c r="P3" s="320"/>
      <c r="Q3" s="320"/>
      <c r="R3" s="366"/>
      <c r="S3" s="367"/>
      <c r="T3" s="320"/>
      <c r="U3" s="320"/>
      <c r="V3" s="366"/>
      <c r="W3" s="367"/>
      <c r="X3" s="320"/>
      <c r="Y3" s="320"/>
      <c r="Z3" s="366"/>
      <c r="AA3" s="367"/>
      <c r="AB3" s="320"/>
      <c r="AC3" s="320"/>
      <c r="AD3" s="366"/>
      <c r="AE3" s="367"/>
      <c r="AF3" s="320"/>
      <c r="AG3" s="320"/>
      <c r="AH3" s="366"/>
      <c r="AI3" s="367"/>
      <c r="AJ3" s="320"/>
      <c r="AK3" s="320"/>
      <c r="AL3" s="366"/>
      <c r="AM3" s="367"/>
      <c r="AN3" s="320"/>
      <c r="AO3" s="320"/>
      <c r="AP3" s="366"/>
      <c r="AQ3" s="367"/>
      <c r="AR3" s="320"/>
      <c r="AS3" s="320"/>
      <c r="AT3" s="366"/>
    </row>
    <row r="4" spans="1:46">
      <c r="A4" s="48">
        <f>NOMINA!A6</f>
        <v>1</v>
      </c>
      <c r="B4" s="85" t="str">
        <f>NOMINA!B6</f>
        <v>ABREU MARRERO LIZ DANIELA</v>
      </c>
      <c r="C4" s="199">
        <f>IF(LEN!C6=0," ",LEN!C6)</f>
        <v>54</v>
      </c>
      <c r="D4" s="181" t="str">
        <f>IF(LEN!D6=0," ",LEN!D6)</f>
        <v xml:space="preserve"> </v>
      </c>
      <c r="E4" s="181" t="str">
        <f>IF(LEN!E6=0," ",LEN!E6)</f>
        <v xml:space="preserve"> </v>
      </c>
      <c r="F4" s="186">
        <f>IF(LEN!F6=0," ",LEN!F6)</f>
        <v>18</v>
      </c>
      <c r="G4" s="199">
        <f>IF(ING!C6=0," ",ING!C6)</f>
        <v>60</v>
      </c>
      <c r="H4" s="181" t="str">
        <f>IF(ING!D6=0," ",ING!D6)</f>
        <v xml:space="preserve"> </v>
      </c>
      <c r="I4" s="181" t="str">
        <f>IF(ING!E6=0," ",ING!E6)</f>
        <v xml:space="preserve"> </v>
      </c>
      <c r="J4" s="200">
        <f>IF(ING!F6=0," ",ING!F6)</f>
        <v>20</v>
      </c>
      <c r="K4" s="201">
        <f>IF('C.SOC'!C6=0," ",'C.SOC'!C6)</f>
        <v>73</v>
      </c>
      <c r="L4" s="181" t="str">
        <f>IF('C.SOC'!D6=0," ",'C.SOC'!D6)</f>
        <v xml:space="preserve"> </v>
      </c>
      <c r="M4" s="181" t="str">
        <f>IF('C.SOC'!E6=0," ",'C.SOC'!E6)</f>
        <v xml:space="preserve"> </v>
      </c>
      <c r="N4" s="186">
        <f>IF('C.SOC'!F6=0," ",'C.SOC'!F6)</f>
        <v>24</v>
      </c>
      <c r="O4" s="199">
        <f>IF('E. FIS.'!C6=0," ",'E. FIS.'!C6)</f>
        <v>70</v>
      </c>
      <c r="P4" s="181" t="str">
        <f>IF('E. FIS.'!D6=0," ",'E. FIS.'!D6)</f>
        <v xml:space="preserve"> </v>
      </c>
      <c r="Q4" s="181" t="str">
        <f>IF('E. FIS.'!E6=0," ",'E. FIS.'!E6)</f>
        <v xml:space="preserve"> </v>
      </c>
      <c r="R4" s="200">
        <f>IF('E. FIS.'!F6=0," ",'E. FIS.'!F6)</f>
        <v>23</v>
      </c>
      <c r="S4" s="201">
        <f>IF(MUS.!C6=0," ",MUS.!C6)</f>
        <v>94</v>
      </c>
      <c r="T4" s="181" t="str">
        <f>IF(MUS.!D6=0," ",MUS.!D6)</f>
        <v xml:space="preserve"> </v>
      </c>
      <c r="U4" s="181" t="str">
        <f>IF(MUS.!E6=0," ",MUS.!E6)</f>
        <v xml:space="preserve"> </v>
      </c>
      <c r="V4" s="186">
        <f>IF(MUS.!F6=0," ",MUS.!F6)</f>
        <v>31</v>
      </c>
      <c r="W4" s="199">
        <f>IF('A.PL. '!C6=0," ",'A.PL. '!C6)</f>
        <v>71</v>
      </c>
      <c r="X4" s="181" t="str">
        <f>IF('A.PL. '!D6=0," ",'A.PL. '!D6)</f>
        <v xml:space="preserve"> </v>
      </c>
      <c r="Y4" s="181" t="str">
        <f>IF('A.PL. '!E6=0," ",'A.PL. '!E6)</f>
        <v xml:space="preserve"> </v>
      </c>
      <c r="Z4" s="200">
        <f>IF('A.PL. '!F6=0," ",'A.PL. '!F6)</f>
        <v>24</v>
      </c>
      <c r="AA4" s="199">
        <f>IF(MAT!C6=0," ",MAT!C6)</f>
        <v>64</v>
      </c>
      <c r="AB4" s="181" t="str">
        <f>IF(MAT!D6=0," ",MAT!D6)</f>
        <v xml:space="preserve"> </v>
      </c>
      <c r="AC4" s="181" t="str">
        <f>IF(MAT!E6=0," ",MAT!E6)</f>
        <v xml:space="preserve"> </v>
      </c>
      <c r="AD4" s="186">
        <f>IF(MAT!F6=0," ",MAT!F6)</f>
        <v>21</v>
      </c>
      <c r="AE4" s="202">
        <f>IF('T. TEC. GRAL'!C6=0," ",'T. TEC. GRAL'!C6)</f>
        <v>66</v>
      </c>
      <c r="AF4" s="186" t="str">
        <f>IF('T. TEC. GRAL'!D6=0," ",'T. TEC. GRAL'!D6)</f>
        <v xml:space="preserve"> </v>
      </c>
      <c r="AG4" s="186" t="str">
        <f>IF('T. TEC. GRAL'!E6=0," ",'T. TEC. GRAL'!E6)</f>
        <v xml:space="preserve"> </v>
      </c>
      <c r="AH4" s="200">
        <f>IF('T. TEC. GRAL'!F6=0," ",'T. TEC. GRAL'!F6)</f>
        <v>22</v>
      </c>
      <c r="AI4" s="201">
        <f>IF('BIO-GEO'!C6=0," ",'BIO-GEO'!C6)</f>
        <v>77</v>
      </c>
      <c r="AJ4" s="181" t="str">
        <f>IF('BIO-GEO'!D6=0," ",'BIO-GEO'!D6)</f>
        <v xml:space="preserve"> </v>
      </c>
      <c r="AK4" s="181" t="str">
        <f>IF('BIO-GEO'!E6=0," ",'BIO-GEO'!E6)</f>
        <v xml:space="preserve"> </v>
      </c>
      <c r="AL4" s="186">
        <f>IF('BIO-GEO'!F6=0," ",'BIO-GEO'!F6)</f>
        <v>26</v>
      </c>
      <c r="AM4" s="199">
        <f>IF(PSI!C6=0," ",PSI!C6)</f>
        <v>74</v>
      </c>
      <c r="AN4" s="181" t="str">
        <f>IF(PSI!D6=0," ",PSI!D6)</f>
        <v xml:space="preserve"> </v>
      </c>
      <c r="AO4" s="181" t="str">
        <f>IF(PSI!E6=0," ",PSI!E6)</f>
        <v xml:space="preserve"> </v>
      </c>
      <c r="AP4" s="181">
        <f>IF(PSI!F6=0," ",PSI!F6)</f>
        <v>25</v>
      </c>
      <c r="AQ4" s="199">
        <f>IF('REL.'!C6=0," ",'REL.'!C6)</f>
        <v>64.666666666666671</v>
      </c>
      <c r="AR4" s="48" t="str">
        <f>IF('REL.'!D6=0," ",'REL.'!D6)</f>
        <v xml:space="preserve"> </v>
      </c>
      <c r="AS4" s="48" t="str">
        <f>IF('REL.'!E6=0," ",'REL.'!E6)</f>
        <v xml:space="preserve"> </v>
      </c>
      <c r="AT4" s="95">
        <f>IF('REL.'!F6=0," ",'REL.'!F6)</f>
        <v>22</v>
      </c>
    </row>
    <row r="5" spans="1:46">
      <c r="A5" s="48">
        <f>NOMINA!A7</f>
        <v>2</v>
      </c>
      <c r="B5" s="85" t="str">
        <f>NOMINA!B7</f>
        <v>ALIAGA SAAVEDRA MARCU MAURICIO</v>
      </c>
      <c r="C5" s="199">
        <f>IF(LEN!C7=0," ",LEN!C7)</f>
        <v>53</v>
      </c>
      <c r="D5" s="181" t="str">
        <f>IF(LEN!D7=0," ",LEN!D7)</f>
        <v xml:space="preserve"> </v>
      </c>
      <c r="E5" s="181" t="str">
        <f>IF(LEN!E7=0," ",LEN!E7)</f>
        <v xml:space="preserve"> </v>
      </c>
      <c r="F5" s="186">
        <f>IF(LEN!F7=0," ",LEN!F7)</f>
        <v>18</v>
      </c>
      <c r="G5" s="199">
        <f>IF(ING!C7=0," ",ING!C7)</f>
        <v>66</v>
      </c>
      <c r="H5" s="181" t="str">
        <f>IF(ING!D7=0," ",ING!D7)</f>
        <v xml:space="preserve"> </v>
      </c>
      <c r="I5" s="181" t="str">
        <f>IF(ING!E7=0," ",ING!E7)</f>
        <v xml:space="preserve"> </v>
      </c>
      <c r="J5" s="200">
        <f>IF(ING!F7=0," ",ING!F7)</f>
        <v>22</v>
      </c>
      <c r="K5" s="201">
        <f>IF('C.SOC'!C7=0," ",'C.SOC'!C7)</f>
        <v>58</v>
      </c>
      <c r="L5" s="181" t="str">
        <f>IF('C.SOC'!D7=0," ",'C.SOC'!D7)</f>
        <v xml:space="preserve"> </v>
      </c>
      <c r="M5" s="181" t="str">
        <f>IF('C.SOC'!E7=0," ",'C.SOC'!E7)</f>
        <v xml:space="preserve"> </v>
      </c>
      <c r="N5" s="186">
        <f>IF('C.SOC'!F7=0," ",'C.SOC'!F7)</f>
        <v>19</v>
      </c>
      <c r="O5" s="199">
        <f>IF('E. FIS.'!C7=0," ",'E. FIS.'!C7)</f>
        <v>54</v>
      </c>
      <c r="P5" s="181" t="str">
        <f>IF('E. FIS.'!D7=0," ",'E. FIS.'!D7)</f>
        <v xml:space="preserve"> </v>
      </c>
      <c r="Q5" s="181" t="str">
        <f>IF('E. FIS.'!E7=0," ",'E. FIS.'!E7)</f>
        <v xml:space="preserve"> </v>
      </c>
      <c r="R5" s="200">
        <f>IF('E. FIS.'!F7=0," ",'E. FIS.'!F7)</f>
        <v>18</v>
      </c>
      <c r="S5" s="201">
        <f>IF(MUS.!C7=0," ",MUS.!C7)</f>
        <v>87</v>
      </c>
      <c r="T5" s="181" t="str">
        <f>IF(MUS.!D7=0," ",MUS.!D7)</f>
        <v xml:space="preserve"> </v>
      </c>
      <c r="U5" s="181" t="str">
        <f>IF(MUS.!E7=0," ",MUS.!E7)</f>
        <v xml:space="preserve"> </v>
      </c>
      <c r="V5" s="186">
        <f>IF(MUS.!F7=0," ",MUS.!F7)</f>
        <v>29</v>
      </c>
      <c r="W5" s="199">
        <f>IF('A.PL. '!C7=0," ",'A.PL. '!C7)</f>
        <v>55</v>
      </c>
      <c r="X5" s="181" t="str">
        <f>IF('A.PL. '!D7=0," ",'A.PL. '!D7)</f>
        <v xml:space="preserve"> </v>
      </c>
      <c r="Y5" s="181" t="str">
        <f>IF('A.PL. '!E7=0," ",'A.PL. '!E7)</f>
        <v xml:space="preserve"> </v>
      </c>
      <c r="Z5" s="200">
        <f>IF('A.PL. '!F7=0," ",'A.PL. '!F7)</f>
        <v>18</v>
      </c>
      <c r="AA5" s="199">
        <f>IF(MAT!C7=0," ",MAT!C7)</f>
        <v>59</v>
      </c>
      <c r="AB5" s="181" t="str">
        <f>IF(MAT!D7=0," ",MAT!D7)</f>
        <v xml:space="preserve"> </v>
      </c>
      <c r="AC5" s="181" t="str">
        <f>IF(MAT!E7=0," ",MAT!E7)</f>
        <v xml:space="preserve"> </v>
      </c>
      <c r="AD5" s="186">
        <f>IF(MAT!F7=0," ",MAT!F7)</f>
        <v>20</v>
      </c>
      <c r="AE5" s="202">
        <f>IF('T. TEC. GRAL'!C7=0," ",'T. TEC. GRAL'!C7)</f>
        <v>63</v>
      </c>
      <c r="AF5" s="186" t="str">
        <f>IF('T. TEC. GRAL'!D7=0," ",'T. TEC. GRAL'!D7)</f>
        <v xml:space="preserve"> </v>
      </c>
      <c r="AG5" s="186" t="str">
        <f>IF('T. TEC. GRAL'!E7=0," ",'T. TEC. GRAL'!E7)</f>
        <v xml:space="preserve"> </v>
      </c>
      <c r="AH5" s="200">
        <f>IF('T. TEC. GRAL'!F7=0," ",'T. TEC. GRAL'!F7)</f>
        <v>21</v>
      </c>
      <c r="AI5" s="201">
        <f>IF('BIO-GEO'!C7=0," ",'BIO-GEO'!C7)</f>
        <v>74</v>
      </c>
      <c r="AJ5" s="181" t="str">
        <f>IF('BIO-GEO'!D7=0," ",'BIO-GEO'!D7)</f>
        <v xml:space="preserve"> </v>
      </c>
      <c r="AK5" s="181" t="str">
        <f>IF('BIO-GEO'!E7=0," ",'BIO-GEO'!E7)</f>
        <v xml:space="preserve"> </v>
      </c>
      <c r="AL5" s="186">
        <f>IF('BIO-GEO'!F7=0," ",'BIO-GEO'!F7)</f>
        <v>25</v>
      </c>
      <c r="AM5" s="199">
        <f>IF(PSI!C7=0," ",PSI!C7)</f>
        <v>80</v>
      </c>
      <c r="AN5" s="181" t="str">
        <f>IF(PSI!D7=0," ",PSI!D7)</f>
        <v xml:space="preserve"> </v>
      </c>
      <c r="AO5" s="181" t="str">
        <f>IF(PSI!E7=0," ",PSI!E7)</f>
        <v xml:space="preserve"> </v>
      </c>
      <c r="AP5" s="181">
        <f>IF(PSI!F7=0," ",PSI!F7)</f>
        <v>27</v>
      </c>
      <c r="AQ5" s="199">
        <f>IF('REL.'!C7=0," ",'REL.'!C7)</f>
        <v>62.416666666666671</v>
      </c>
      <c r="AR5" s="48" t="str">
        <f>IF('REL.'!D7=0," ",'REL.'!D7)</f>
        <v xml:space="preserve"> </v>
      </c>
      <c r="AS5" s="48" t="str">
        <f>IF('REL.'!E7=0," ",'REL.'!E7)</f>
        <v xml:space="preserve"> </v>
      </c>
      <c r="AT5" s="95">
        <f>IF('REL.'!F7=0," ",'REL.'!F7)</f>
        <v>21</v>
      </c>
    </row>
    <row r="6" spans="1:46">
      <c r="A6" s="48">
        <f>NOMINA!A8</f>
        <v>3</v>
      </c>
      <c r="B6" s="85" t="str">
        <f>NOMINA!B8</f>
        <v>ANTEZANA CACHI JOSE MAXWEL</v>
      </c>
      <c r="C6" s="199">
        <f>IF(LEN!C8=0," ",LEN!C8)</f>
        <v>65</v>
      </c>
      <c r="D6" s="181" t="str">
        <f>IF(LEN!D8=0," ",LEN!D8)</f>
        <v xml:space="preserve"> </v>
      </c>
      <c r="E6" s="181" t="str">
        <f>IF(LEN!E8=0," ",LEN!E8)</f>
        <v xml:space="preserve"> </v>
      </c>
      <c r="F6" s="186">
        <f>IF(LEN!F8=0," ",LEN!F8)</f>
        <v>22</v>
      </c>
      <c r="G6" s="199">
        <f>IF(ING!C8=0," ",ING!C8)</f>
        <v>81</v>
      </c>
      <c r="H6" s="181" t="str">
        <f>IF(ING!D8=0," ",ING!D8)</f>
        <v xml:space="preserve"> </v>
      </c>
      <c r="I6" s="181" t="str">
        <f>IF(ING!E8=0," ",ING!E8)</f>
        <v xml:space="preserve"> </v>
      </c>
      <c r="J6" s="200">
        <f>IF(ING!F8=0," ",ING!F8)</f>
        <v>27</v>
      </c>
      <c r="K6" s="201">
        <f>IF('C.SOC'!C8=0," ",'C.SOC'!C8)</f>
        <v>74</v>
      </c>
      <c r="L6" s="181" t="str">
        <f>IF('C.SOC'!D8=0," ",'C.SOC'!D8)</f>
        <v xml:space="preserve"> </v>
      </c>
      <c r="M6" s="181" t="str">
        <f>IF('C.SOC'!E8=0," ",'C.SOC'!E8)</f>
        <v xml:space="preserve"> </v>
      </c>
      <c r="N6" s="186">
        <f>IF('C.SOC'!F8=0," ",'C.SOC'!F8)</f>
        <v>25</v>
      </c>
      <c r="O6" s="199">
        <f>IF('E. FIS.'!C8=0," ",'E. FIS.'!C8)</f>
        <v>63</v>
      </c>
      <c r="P6" s="181" t="str">
        <f>IF('E. FIS.'!D8=0," ",'E. FIS.'!D8)</f>
        <v xml:space="preserve"> </v>
      </c>
      <c r="Q6" s="181" t="str">
        <f>IF('E. FIS.'!E8=0," ",'E. FIS.'!E8)</f>
        <v xml:space="preserve"> </v>
      </c>
      <c r="R6" s="200">
        <f>IF('E. FIS.'!F8=0," ",'E. FIS.'!F8)</f>
        <v>21</v>
      </c>
      <c r="S6" s="201">
        <f>IF(MUS.!C8=0," ",MUS.!C8)</f>
        <v>96</v>
      </c>
      <c r="T6" s="181" t="str">
        <f>IF(MUS.!D8=0," ",MUS.!D8)</f>
        <v xml:space="preserve"> </v>
      </c>
      <c r="U6" s="181" t="str">
        <f>IF(MUS.!E8=0," ",MUS.!E8)</f>
        <v xml:space="preserve"> </v>
      </c>
      <c r="V6" s="186">
        <f>IF(MUS.!F8=0," ",MUS.!F8)</f>
        <v>32</v>
      </c>
      <c r="W6" s="199">
        <f>IF('A.PL. '!C8=0," ",'A.PL. '!C8)</f>
        <v>59</v>
      </c>
      <c r="X6" s="181" t="str">
        <f>IF('A.PL. '!D8=0," ",'A.PL. '!D8)</f>
        <v xml:space="preserve"> </v>
      </c>
      <c r="Y6" s="181" t="str">
        <f>IF('A.PL. '!E8=0," ",'A.PL. '!E8)</f>
        <v xml:space="preserve"> </v>
      </c>
      <c r="Z6" s="200">
        <f>IF('A.PL. '!F8=0," ",'A.PL. '!F8)</f>
        <v>20</v>
      </c>
      <c r="AA6" s="199">
        <f>IF(MAT!C8=0," ",MAT!C8)</f>
        <v>91</v>
      </c>
      <c r="AB6" s="181" t="str">
        <f>IF(MAT!D8=0," ",MAT!D8)</f>
        <v xml:space="preserve"> </v>
      </c>
      <c r="AC6" s="181" t="str">
        <f>IF(MAT!E8=0," ",MAT!E8)</f>
        <v xml:space="preserve"> </v>
      </c>
      <c r="AD6" s="186">
        <f>IF(MAT!F8=0," ",MAT!F8)</f>
        <v>30</v>
      </c>
      <c r="AE6" s="202">
        <f>IF('T. TEC. GRAL'!C8=0," ",'T. TEC. GRAL'!C8)</f>
        <v>65</v>
      </c>
      <c r="AF6" s="186" t="str">
        <f>IF('T. TEC. GRAL'!D8=0," ",'T. TEC. GRAL'!D8)</f>
        <v xml:space="preserve"> </v>
      </c>
      <c r="AG6" s="186" t="str">
        <f>IF('T. TEC. GRAL'!E8=0," ",'T. TEC. GRAL'!E8)</f>
        <v xml:space="preserve"> </v>
      </c>
      <c r="AH6" s="200">
        <f>IF('T. TEC. GRAL'!F8=0," ",'T. TEC. GRAL'!F8)</f>
        <v>22</v>
      </c>
      <c r="AI6" s="201">
        <f>IF('BIO-GEO'!C8=0," ",'BIO-GEO'!C8)</f>
        <v>75</v>
      </c>
      <c r="AJ6" s="181" t="str">
        <f>IF('BIO-GEO'!D8=0," ",'BIO-GEO'!D8)</f>
        <v xml:space="preserve"> </v>
      </c>
      <c r="AK6" s="181" t="str">
        <f>IF('BIO-GEO'!E8=0," ",'BIO-GEO'!E8)</f>
        <v xml:space="preserve"> </v>
      </c>
      <c r="AL6" s="186">
        <f>IF('BIO-GEO'!F8=0," ",'BIO-GEO'!F8)</f>
        <v>25</v>
      </c>
      <c r="AM6" s="199">
        <f>IF(PSI!C8=0," ",PSI!C8)</f>
        <v>85</v>
      </c>
      <c r="AN6" s="181" t="str">
        <f>IF(PSI!D8=0," ",PSI!D8)</f>
        <v xml:space="preserve"> </v>
      </c>
      <c r="AO6" s="181" t="str">
        <f>IF(PSI!E8=0," ",PSI!E8)</f>
        <v xml:space="preserve"> </v>
      </c>
      <c r="AP6" s="181">
        <f>IF(PSI!F8=0," ",PSI!F8)</f>
        <v>28</v>
      </c>
      <c r="AQ6" s="199">
        <f>IF('REL.'!C8=0," ",'REL.'!C8)</f>
        <v>70.333333333333343</v>
      </c>
      <c r="AR6" s="48" t="str">
        <f>IF('REL.'!D8=0," ",'REL.'!D8)</f>
        <v xml:space="preserve"> </v>
      </c>
      <c r="AS6" s="48" t="str">
        <f>IF('REL.'!E8=0," ",'REL.'!E8)</f>
        <v xml:space="preserve"> </v>
      </c>
      <c r="AT6" s="95">
        <f>IF('REL.'!F8=0," ",'REL.'!F8)</f>
        <v>23</v>
      </c>
    </row>
    <row r="7" spans="1:46">
      <c r="A7" s="48">
        <f>NOMINA!A9</f>
        <v>4</v>
      </c>
      <c r="B7" s="85" t="str">
        <f>NOMINA!B9</f>
        <v>ARIZACA SALGUERO SANTIAGO</v>
      </c>
      <c r="C7" s="199">
        <f>IF(LEN!C9=0," ",LEN!C9)</f>
        <v>46</v>
      </c>
      <c r="D7" s="181" t="str">
        <f>IF(LEN!D9=0," ",LEN!D9)</f>
        <v xml:space="preserve"> </v>
      </c>
      <c r="E7" s="181" t="str">
        <f>IF(LEN!E9=0," ",LEN!E9)</f>
        <v xml:space="preserve"> </v>
      </c>
      <c r="F7" s="186">
        <f>IF(LEN!F9=0," ",LEN!F9)</f>
        <v>15</v>
      </c>
      <c r="G7" s="199">
        <f>IF(ING!C9=0," ",ING!C9)</f>
        <v>48</v>
      </c>
      <c r="H7" s="181" t="str">
        <f>IF(ING!D9=0," ",ING!D9)</f>
        <v xml:space="preserve"> </v>
      </c>
      <c r="I7" s="181" t="str">
        <f>IF(ING!E9=0," ",ING!E9)</f>
        <v xml:space="preserve"> </v>
      </c>
      <c r="J7" s="200">
        <f>IF(ING!F9=0," ",ING!F9)</f>
        <v>16</v>
      </c>
      <c r="K7" s="201">
        <f>IF('C.SOC'!C9=0," ",'C.SOC'!C9)</f>
        <v>63</v>
      </c>
      <c r="L7" s="181" t="str">
        <f>IF('C.SOC'!D9=0," ",'C.SOC'!D9)</f>
        <v xml:space="preserve"> </v>
      </c>
      <c r="M7" s="181" t="str">
        <f>IF('C.SOC'!E9=0," ",'C.SOC'!E9)</f>
        <v xml:space="preserve"> </v>
      </c>
      <c r="N7" s="186">
        <f>IF('C.SOC'!F9=0," ",'C.SOC'!F9)</f>
        <v>21</v>
      </c>
      <c r="O7" s="199">
        <f>IF('E. FIS.'!C9=0," ",'E. FIS.'!C9)</f>
        <v>76</v>
      </c>
      <c r="P7" s="181" t="str">
        <f>IF('E. FIS.'!D9=0," ",'E. FIS.'!D9)</f>
        <v xml:space="preserve"> </v>
      </c>
      <c r="Q7" s="181" t="str">
        <f>IF('E. FIS.'!E9=0," ",'E. FIS.'!E9)</f>
        <v xml:space="preserve"> </v>
      </c>
      <c r="R7" s="200">
        <f>IF('E. FIS.'!F9=0," ",'E. FIS.'!F9)</f>
        <v>25</v>
      </c>
      <c r="S7" s="201">
        <f>IF(MUS.!C9=0," ",MUS.!C9)</f>
        <v>70</v>
      </c>
      <c r="T7" s="181" t="str">
        <f>IF(MUS.!D9=0," ",MUS.!D9)</f>
        <v xml:space="preserve"> </v>
      </c>
      <c r="U7" s="181" t="str">
        <f>IF(MUS.!E9=0," ",MUS.!E9)</f>
        <v xml:space="preserve"> </v>
      </c>
      <c r="V7" s="186">
        <f>IF(MUS.!F9=0," ",MUS.!F9)</f>
        <v>23</v>
      </c>
      <c r="W7" s="199">
        <f>IF('A.PL. '!C9=0," ",'A.PL. '!C9)</f>
        <v>63</v>
      </c>
      <c r="X7" s="181" t="str">
        <f>IF('A.PL. '!D9=0," ",'A.PL. '!D9)</f>
        <v xml:space="preserve"> </v>
      </c>
      <c r="Y7" s="181" t="str">
        <f>IF('A.PL. '!E9=0," ",'A.PL. '!E9)</f>
        <v xml:space="preserve"> </v>
      </c>
      <c r="Z7" s="200">
        <f>IF('A.PL. '!F9=0," ",'A.PL. '!F9)</f>
        <v>21</v>
      </c>
      <c r="AA7" s="199">
        <f>IF(MAT!C9=0," ",MAT!C9)</f>
        <v>61</v>
      </c>
      <c r="AB7" s="181" t="str">
        <f>IF(MAT!D9=0," ",MAT!D9)</f>
        <v xml:space="preserve"> </v>
      </c>
      <c r="AC7" s="181" t="str">
        <f>IF(MAT!E9=0," ",MAT!E9)</f>
        <v xml:space="preserve"> </v>
      </c>
      <c r="AD7" s="186">
        <f>IF(MAT!F9=0," ",MAT!F9)</f>
        <v>20</v>
      </c>
      <c r="AE7" s="202">
        <f>IF('T. TEC. GRAL'!C9=0," ",'T. TEC. GRAL'!C9)</f>
        <v>68</v>
      </c>
      <c r="AF7" s="186" t="str">
        <f>IF('T. TEC. GRAL'!D9=0," ",'T. TEC. GRAL'!D9)</f>
        <v xml:space="preserve"> </v>
      </c>
      <c r="AG7" s="186" t="str">
        <f>IF('T. TEC. GRAL'!E9=0," ",'T. TEC. GRAL'!E9)</f>
        <v xml:space="preserve"> </v>
      </c>
      <c r="AH7" s="200">
        <f>IF('T. TEC. GRAL'!F9=0," ",'T. TEC. GRAL'!F9)</f>
        <v>23</v>
      </c>
      <c r="AI7" s="201">
        <f>IF('BIO-GEO'!C9=0," ",'BIO-GEO'!C9)</f>
        <v>77</v>
      </c>
      <c r="AJ7" s="181" t="str">
        <f>IF('BIO-GEO'!D9=0," ",'BIO-GEO'!D9)</f>
        <v xml:space="preserve"> </v>
      </c>
      <c r="AK7" s="181" t="str">
        <f>IF('BIO-GEO'!E9=0," ",'BIO-GEO'!E9)</f>
        <v xml:space="preserve"> </v>
      </c>
      <c r="AL7" s="186">
        <f>IF('BIO-GEO'!F9=0," ",'BIO-GEO'!F9)</f>
        <v>26</v>
      </c>
      <c r="AM7" s="199">
        <f>IF(PSI!C9=0," ",PSI!C9)</f>
        <v>51</v>
      </c>
      <c r="AN7" s="181" t="str">
        <f>IF(PSI!D9=0," ",PSI!D9)</f>
        <v xml:space="preserve"> </v>
      </c>
      <c r="AO7" s="181" t="str">
        <f>IF(PSI!E9=0," ",PSI!E9)</f>
        <v xml:space="preserve"> </v>
      </c>
      <c r="AP7" s="181">
        <f>IF(PSI!F9=0," ",PSI!F9)</f>
        <v>17</v>
      </c>
      <c r="AQ7" s="199">
        <f>IF('REL.'!C9=0," ",'REL.'!C9)</f>
        <v>51.75</v>
      </c>
      <c r="AR7" s="48" t="str">
        <f>IF('REL.'!D9=0," ",'REL.'!D9)</f>
        <v xml:space="preserve"> </v>
      </c>
      <c r="AS7" s="48" t="str">
        <f>IF('REL.'!E9=0," ",'REL.'!E9)</f>
        <v xml:space="preserve"> </v>
      </c>
      <c r="AT7" s="95">
        <f>IF('REL.'!F9=0," ",'REL.'!F9)</f>
        <v>17</v>
      </c>
    </row>
    <row r="8" spans="1:46">
      <c r="A8" s="48">
        <f>NOMINA!A10</f>
        <v>5</v>
      </c>
      <c r="B8" s="85" t="str">
        <f>NOMINA!B10</f>
        <v>BAUTISTA GARCIA ALISON LUCIANA</v>
      </c>
      <c r="C8" s="199">
        <f>IF(LEN!C10=0," ",LEN!C10)</f>
        <v>52</v>
      </c>
      <c r="D8" s="181" t="str">
        <f>IF(LEN!D10=0," ",LEN!D10)</f>
        <v xml:space="preserve"> </v>
      </c>
      <c r="E8" s="181" t="str">
        <f>IF(LEN!E10=0," ",LEN!E10)</f>
        <v xml:space="preserve"> </v>
      </c>
      <c r="F8" s="186">
        <f>IF(LEN!F10=0," ",LEN!F10)</f>
        <v>17</v>
      </c>
      <c r="G8" s="199">
        <f>IF(ING!C10=0," ",ING!C10)</f>
        <v>57</v>
      </c>
      <c r="H8" s="181" t="str">
        <f>IF(ING!D10=0," ",ING!D10)</f>
        <v xml:space="preserve"> </v>
      </c>
      <c r="I8" s="181" t="str">
        <f>IF(ING!E10=0," ",ING!E10)</f>
        <v xml:space="preserve"> </v>
      </c>
      <c r="J8" s="200">
        <f>IF(ING!F10=0," ",ING!F10)</f>
        <v>19</v>
      </c>
      <c r="K8" s="201">
        <f>IF('C.SOC'!C10=0," ",'C.SOC'!C10)</f>
        <v>51</v>
      </c>
      <c r="L8" s="181" t="str">
        <f>IF('C.SOC'!D10=0," ",'C.SOC'!D10)</f>
        <v xml:space="preserve"> </v>
      </c>
      <c r="M8" s="181" t="str">
        <f>IF('C.SOC'!E10=0," ",'C.SOC'!E10)</f>
        <v xml:space="preserve"> </v>
      </c>
      <c r="N8" s="186">
        <f>IF('C.SOC'!F10=0," ",'C.SOC'!F10)</f>
        <v>17</v>
      </c>
      <c r="O8" s="199">
        <f>IF('E. FIS.'!C10=0," ",'E. FIS.'!C10)</f>
        <v>67</v>
      </c>
      <c r="P8" s="181" t="str">
        <f>IF('E. FIS.'!D10=0," ",'E. FIS.'!D10)</f>
        <v xml:space="preserve"> </v>
      </c>
      <c r="Q8" s="181" t="str">
        <f>IF('E. FIS.'!E10=0," ",'E. FIS.'!E10)</f>
        <v xml:space="preserve"> </v>
      </c>
      <c r="R8" s="200">
        <f>IF('E. FIS.'!F10=0," ",'E. FIS.'!F10)</f>
        <v>22</v>
      </c>
      <c r="S8" s="201">
        <f>IF(MUS.!C10=0," ",MUS.!C10)</f>
        <v>76</v>
      </c>
      <c r="T8" s="181" t="str">
        <f>IF(MUS.!D10=0," ",MUS.!D10)</f>
        <v xml:space="preserve"> </v>
      </c>
      <c r="U8" s="181" t="str">
        <f>IF(MUS.!E10=0," ",MUS.!E10)</f>
        <v xml:space="preserve"> </v>
      </c>
      <c r="V8" s="186">
        <f>IF(MUS.!F10=0," ",MUS.!F10)</f>
        <v>25</v>
      </c>
      <c r="W8" s="199">
        <f>IF('A.PL. '!C10=0," ",'A.PL. '!C10)</f>
        <v>71</v>
      </c>
      <c r="X8" s="181" t="str">
        <f>IF('A.PL. '!D10=0," ",'A.PL. '!D10)</f>
        <v xml:space="preserve"> </v>
      </c>
      <c r="Y8" s="181" t="str">
        <f>IF('A.PL. '!E10=0," ",'A.PL. '!E10)</f>
        <v xml:space="preserve"> </v>
      </c>
      <c r="Z8" s="200">
        <f>IF('A.PL. '!F10=0," ",'A.PL. '!F10)</f>
        <v>24</v>
      </c>
      <c r="AA8" s="199">
        <f>IF(MAT!C10=0," ",MAT!C10)</f>
        <v>58</v>
      </c>
      <c r="AB8" s="181" t="str">
        <f>IF(MAT!D10=0," ",MAT!D10)</f>
        <v xml:space="preserve"> </v>
      </c>
      <c r="AC8" s="181" t="str">
        <f>IF(MAT!E10=0," ",MAT!E10)</f>
        <v xml:space="preserve"> </v>
      </c>
      <c r="AD8" s="186">
        <f>IF(MAT!F10=0," ",MAT!F10)</f>
        <v>19</v>
      </c>
      <c r="AE8" s="202">
        <f>IF('T. TEC. GRAL'!C10=0," ",'T. TEC. GRAL'!C10)</f>
        <v>71</v>
      </c>
      <c r="AF8" s="186" t="str">
        <f>IF('T. TEC. GRAL'!D10=0," ",'T. TEC. GRAL'!D10)</f>
        <v xml:space="preserve"> </v>
      </c>
      <c r="AG8" s="186" t="str">
        <f>IF('T. TEC. GRAL'!E10=0," ",'T. TEC. GRAL'!E10)</f>
        <v xml:space="preserve"> </v>
      </c>
      <c r="AH8" s="200">
        <f>IF('T. TEC. GRAL'!F10=0," ",'T. TEC. GRAL'!F10)</f>
        <v>24</v>
      </c>
      <c r="AI8" s="201">
        <f>IF('BIO-GEO'!C10=0," ",'BIO-GEO'!C10)</f>
        <v>70</v>
      </c>
      <c r="AJ8" s="181" t="str">
        <f>IF('BIO-GEO'!D10=0," ",'BIO-GEO'!D10)</f>
        <v xml:space="preserve"> </v>
      </c>
      <c r="AK8" s="181" t="str">
        <f>IF('BIO-GEO'!E10=0," ",'BIO-GEO'!E10)</f>
        <v xml:space="preserve"> </v>
      </c>
      <c r="AL8" s="186">
        <f>IF('BIO-GEO'!F10=0," ",'BIO-GEO'!F10)</f>
        <v>23</v>
      </c>
      <c r="AM8" s="199">
        <f>IF(PSI!C10=0," ",PSI!C10)</f>
        <v>66</v>
      </c>
      <c r="AN8" s="181" t="str">
        <f>IF(PSI!D10=0," ",PSI!D10)</f>
        <v xml:space="preserve"> </v>
      </c>
      <c r="AO8" s="181" t="str">
        <f>IF(PSI!E10=0," ",PSI!E10)</f>
        <v xml:space="preserve"> </v>
      </c>
      <c r="AP8" s="181">
        <f>IF(PSI!F10=0," ",PSI!F10)</f>
        <v>22</v>
      </c>
      <c r="AQ8" s="199">
        <f>IF('REL.'!C10=0," ",'REL.'!C10)</f>
        <v>78.833333333333343</v>
      </c>
      <c r="AR8" s="48" t="str">
        <f>IF('REL.'!D10=0," ",'REL.'!D10)</f>
        <v xml:space="preserve"> </v>
      </c>
      <c r="AS8" s="48" t="str">
        <f>IF('REL.'!E10=0," ",'REL.'!E10)</f>
        <v xml:space="preserve"> </v>
      </c>
      <c r="AT8" s="95">
        <f>IF('REL.'!F10=0," ",'REL.'!F10)</f>
        <v>26</v>
      </c>
    </row>
    <row r="9" spans="1:46">
      <c r="A9" s="48">
        <f>NOMINA!A11</f>
        <v>6</v>
      </c>
      <c r="B9" s="85" t="str">
        <f>NOMINA!B11</f>
        <v>BOLIVAR REVOLLO NIVARDO ADOLFO</v>
      </c>
      <c r="C9" s="199">
        <f>IF(LEN!C11=0," ",LEN!C11)</f>
        <v>51</v>
      </c>
      <c r="D9" s="181" t="str">
        <f>IF(LEN!D11=0," ",LEN!D11)</f>
        <v xml:space="preserve"> </v>
      </c>
      <c r="E9" s="181" t="str">
        <f>IF(LEN!E11=0," ",LEN!E11)</f>
        <v xml:space="preserve"> </v>
      </c>
      <c r="F9" s="186">
        <f>IF(LEN!F11=0," ",LEN!F11)</f>
        <v>17</v>
      </c>
      <c r="G9" s="199">
        <f>IF(ING!C11=0," ",ING!C11)</f>
        <v>63</v>
      </c>
      <c r="H9" s="181" t="str">
        <f>IF(ING!D11=0," ",ING!D11)</f>
        <v xml:space="preserve"> </v>
      </c>
      <c r="I9" s="181" t="str">
        <f>IF(ING!E11=0," ",ING!E11)</f>
        <v xml:space="preserve"> </v>
      </c>
      <c r="J9" s="200">
        <f>IF(ING!F11=0," ",ING!F11)</f>
        <v>21</v>
      </c>
      <c r="K9" s="201">
        <f>IF('C.SOC'!C11=0," ",'C.SOC'!C11)</f>
        <v>43</v>
      </c>
      <c r="L9" s="181" t="str">
        <f>IF('C.SOC'!D11=0," ",'C.SOC'!D11)</f>
        <v xml:space="preserve"> </v>
      </c>
      <c r="M9" s="181" t="str">
        <f>IF('C.SOC'!E11=0," ",'C.SOC'!E11)</f>
        <v xml:space="preserve"> </v>
      </c>
      <c r="N9" s="186">
        <f>IF('C.SOC'!F11=0," ",'C.SOC'!F11)</f>
        <v>14</v>
      </c>
      <c r="O9" s="199">
        <f>IF('E. FIS.'!C11=0," ",'E. FIS.'!C11)</f>
        <v>59</v>
      </c>
      <c r="P9" s="181" t="str">
        <f>IF('E. FIS.'!D11=0," ",'E. FIS.'!D11)</f>
        <v xml:space="preserve"> </v>
      </c>
      <c r="Q9" s="181" t="str">
        <f>IF('E. FIS.'!E11=0," ",'E. FIS.'!E11)</f>
        <v xml:space="preserve"> </v>
      </c>
      <c r="R9" s="200">
        <f>IF('E. FIS.'!F11=0," ",'E. FIS.'!F11)</f>
        <v>20</v>
      </c>
      <c r="S9" s="201">
        <f>IF(MUS.!C11=0," ",MUS.!C11)</f>
        <v>72</v>
      </c>
      <c r="T9" s="181" t="str">
        <f>IF(MUS.!D11=0," ",MUS.!D11)</f>
        <v xml:space="preserve"> </v>
      </c>
      <c r="U9" s="181" t="str">
        <f>IF(MUS.!E11=0," ",MUS.!E11)</f>
        <v xml:space="preserve"> </v>
      </c>
      <c r="V9" s="186">
        <f>IF(MUS.!F11=0," ",MUS.!F11)</f>
        <v>24</v>
      </c>
      <c r="W9" s="199">
        <f>IF('A.PL. '!C11=0," ",'A.PL. '!C11)</f>
        <v>53</v>
      </c>
      <c r="X9" s="181" t="str">
        <f>IF('A.PL. '!D11=0," ",'A.PL. '!D11)</f>
        <v xml:space="preserve"> </v>
      </c>
      <c r="Y9" s="181" t="str">
        <f>IF('A.PL. '!E11=0," ",'A.PL. '!E11)</f>
        <v xml:space="preserve"> </v>
      </c>
      <c r="Z9" s="200">
        <f>IF('A.PL. '!F11=0," ",'A.PL. '!F11)</f>
        <v>18</v>
      </c>
      <c r="AA9" s="199">
        <f>IF(MAT!C11=0," ",MAT!C11)</f>
        <v>46</v>
      </c>
      <c r="AB9" s="181" t="str">
        <f>IF(MAT!D11=0," ",MAT!D11)</f>
        <v xml:space="preserve"> </v>
      </c>
      <c r="AC9" s="181" t="str">
        <f>IF(MAT!E11=0," ",MAT!E11)</f>
        <v xml:space="preserve"> </v>
      </c>
      <c r="AD9" s="186">
        <f>IF(MAT!F11=0," ",MAT!F11)</f>
        <v>15</v>
      </c>
      <c r="AE9" s="202">
        <f>IF('T. TEC. GRAL'!C11=0," ",'T. TEC. GRAL'!C11)</f>
        <v>66</v>
      </c>
      <c r="AF9" s="186" t="str">
        <f>IF('T. TEC. GRAL'!D11=0," ",'T. TEC. GRAL'!D11)</f>
        <v xml:space="preserve"> </v>
      </c>
      <c r="AG9" s="186" t="str">
        <f>IF('T. TEC. GRAL'!E11=0," ",'T. TEC. GRAL'!E11)</f>
        <v xml:space="preserve"> </v>
      </c>
      <c r="AH9" s="200">
        <f>IF('T. TEC. GRAL'!F11=0," ",'T. TEC. GRAL'!F11)</f>
        <v>22</v>
      </c>
      <c r="AI9" s="201">
        <f>IF('BIO-GEO'!C11=0," ",'BIO-GEO'!C11)</f>
        <v>61</v>
      </c>
      <c r="AJ9" s="181" t="str">
        <f>IF('BIO-GEO'!D11=0," ",'BIO-GEO'!D11)</f>
        <v xml:space="preserve"> </v>
      </c>
      <c r="AK9" s="181" t="str">
        <f>IF('BIO-GEO'!E11=0," ",'BIO-GEO'!E11)</f>
        <v xml:space="preserve"> </v>
      </c>
      <c r="AL9" s="186">
        <f>IF('BIO-GEO'!F11=0," ",'BIO-GEO'!F11)</f>
        <v>20</v>
      </c>
      <c r="AM9" s="199">
        <f>IF(PSI!C11=0," ",PSI!C11)</f>
        <v>64</v>
      </c>
      <c r="AN9" s="181" t="str">
        <f>IF(PSI!D11=0," ",PSI!D11)</f>
        <v xml:space="preserve"> </v>
      </c>
      <c r="AO9" s="181" t="str">
        <f>IF(PSI!E11=0," ",PSI!E11)</f>
        <v xml:space="preserve"> </v>
      </c>
      <c r="AP9" s="181">
        <f>IF(PSI!F11=0," ",PSI!F11)</f>
        <v>21</v>
      </c>
      <c r="AQ9" s="199">
        <f>IF('REL.'!C11=0," ",'REL.'!C11)</f>
        <v>77.166666666666671</v>
      </c>
      <c r="AR9" s="48" t="str">
        <f>IF('REL.'!D11=0," ",'REL.'!D11)</f>
        <v xml:space="preserve"> </v>
      </c>
      <c r="AS9" s="48" t="str">
        <f>IF('REL.'!E11=0," ",'REL.'!E11)</f>
        <v xml:space="preserve"> </v>
      </c>
      <c r="AT9" s="95">
        <f>IF('REL.'!F11=0," ",'REL.'!F11)</f>
        <v>26</v>
      </c>
    </row>
    <row r="10" spans="1:46">
      <c r="A10" s="48">
        <f>NOMINA!A12</f>
        <v>7</v>
      </c>
      <c r="B10" s="85" t="str">
        <f>NOMINA!B12</f>
        <v>CADIMA SOLIZ NICOLAS</v>
      </c>
      <c r="C10" s="199">
        <f>IF(LEN!C12=0," ",LEN!C12)</f>
        <v>46</v>
      </c>
      <c r="D10" s="181" t="str">
        <f>IF(LEN!D12=0," ",LEN!D12)</f>
        <v xml:space="preserve"> </v>
      </c>
      <c r="E10" s="181" t="str">
        <f>IF(LEN!E12=0," ",LEN!E12)</f>
        <v xml:space="preserve"> </v>
      </c>
      <c r="F10" s="186">
        <f>IF(LEN!F12=0," ",LEN!F12)</f>
        <v>15</v>
      </c>
      <c r="G10" s="199">
        <f>IF(ING!C12=0," ",ING!C12)</f>
        <v>47</v>
      </c>
      <c r="H10" s="181" t="str">
        <f>IF(ING!D12=0," ",ING!D12)</f>
        <v xml:space="preserve"> </v>
      </c>
      <c r="I10" s="181" t="str">
        <f>IF(ING!E12=0," ",ING!E12)</f>
        <v xml:space="preserve"> </v>
      </c>
      <c r="J10" s="200">
        <f>IF(ING!F12=0," ",ING!F12)</f>
        <v>16</v>
      </c>
      <c r="K10" s="201">
        <f>IF('C.SOC'!C12=0," ",'C.SOC'!C12)</f>
        <v>40</v>
      </c>
      <c r="L10" s="181" t="str">
        <f>IF('C.SOC'!D12=0," ",'C.SOC'!D12)</f>
        <v xml:space="preserve"> </v>
      </c>
      <c r="M10" s="181" t="str">
        <f>IF('C.SOC'!E12=0," ",'C.SOC'!E12)</f>
        <v xml:space="preserve"> </v>
      </c>
      <c r="N10" s="186">
        <f>IF('C.SOC'!F12=0," ",'C.SOC'!F12)</f>
        <v>13</v>
      </c>
      <c r="O10" s="199">
        <f>IF('E. FIS.'!C12=0," ",'E. FIS.'!C12)</f>
        <v>69</v>
      </c>
      <c r="P10" s="181" t="str">
        <f>IF('E. FIS.'!D12=0," ",'E. FIS.'!D12)</f>
        <v xml:space="preserve"> </v>
      </c>
      <c r="Q10" s="181" t="str">
        <f>IF('E. FIS.'!E12=0," ",'E. FIS.'!E12)</f>
        <v xml:space="preserve"> </v>
      </c>
      <c r="R10" s="200">
        <f>IF('E. FIS.'!F12=0," ",'E. FIS.'!F12)</f>
        <v>23</v>
      </c>
      <c r="S10" s="201">
        <f>IF(MUS.!C12=0," ",MUS.!C12)</f>
        <v>66</v>
      </c>
      <c r="T10" s="181" t="str">
        <f>IF(MUS.!D12=0," ",MUS.!D12)</f>
        <v xml:space="preserve"> </v>
      </c>
      <c r="U10" s="181" t="str">
        <f>IF(MUS.!E12=0," ",MUS.!E12)</f>
        <v xml:space="preserve"> </v>
      </c>
      <c r="V10" s="186">
        <f>IF(MUS.!F12=0," ",MUS.!F12)</f>
        <v>22</v>
      </c>
      <c r="W10" s="199">
        <f>IF('A.PL. '!C12=0," ",'A.PL. '!C12)</f>
        <v>59</v>
      </c>
      <c r="X10" s="181" t="str">
        <f>IF('A.PL. '!D12=0," ",'A.PL. '!D12)</f>
        <v xml:space="preserve"> </v>
      </c>
      <c r="Y10" s="181" t="str">
        <f>IF('A.PL. '!E12=0," ",'A.PL. '!E12)</f>
        <v xml:space="preserve"> </v>
      </c>
      <c r="Z10" s="200">
        <f>IF('A.PL. '!F12=0," ",'A.PL. '!F12)</f>
        <v>20</v>
      </c>
      <c r="AA10" s="199">
        <f>IF(MAT!C12=0," ",MAT!C12)</f>
        <v>46</v>
      </c>
      <c r="AB10" s="181" t="str">
        <f>IF(MAT!D12=0," ",MAT!D12)</f>
        <v xml:space="preserve"> </v>
      </c>
      <c r="AC10" s="181" t="str">
        <f>IF(MAT!E12=0," ",MAT!E12)</f>
        <v xml:space="preserve"> </v>
      </c>
      <c r="AD10" s="186">
        <f>IF(MAT!F12=0," ",MAT!F12)</f>
        <v>15</v>
      </c>
      <c r="AE10" s="202">
        <f>IF('T. TEC. GRAL'!C12=0," ",'T. TEC. GRAL'!C12)</f>
        <v>57</v>
      </c>
      <c r="AF10" s="186" t="str">
        <f>IF('T. TEC. GRAL'!D12=0," ",'T. TEC. GRAL'!D12)</f>
        <v xml:space="preserve"> </v>
      </c>
      <c r="AG10" s="186" t="str">
        <f>IF('T. TEC. GRAL'!E12=0," ",'T. TEC. GRAL'!E12)</f>
        <v xml:space="preserve"> </v>
      </c>
      <c r="AH10" s="200">
        <f>IF('T. TEC. GRAL'!F12=0," ",'T. TEC. GRAL'!F12)</f>
        <v>19</v>
      </c>
      <c r="AI10" s="201">
        <f>IF('BIO-GEO'!C12=0," ",'BIO-GEO'!C12)</f>
        <v>67</v>
      </c>
      <c r="AJ10" s="181" t="str">
        <f>IF('BIO-GEO'!D12=0," ",'BIO-GEO'!D12)</f>
        <v xml:space="preserve"> </v>
      </c>
      <c r="AK10" s="181" t="str">
        <f>IF('BIO-GEO'!E12=0," ",'BIO-GEO'!E12)</f>
        <v xml:space="preserve"> </v>
      </c>
      <c r="AL10" s="186">
        <f>IF('BIO-GEO'!F12=0," ",'BIO-GEO'!F12)</f>
        <v>22</v>
      </c>
      <c r="AM10" s="199">
        <f>IF(PSI!C12=0," ",PSI!C12)</f>
        <v>67</v>
      </c>
      <c r="AN10" s="181" t="str">
        <f>IF(PSI!D12=0," ",PSI!D12)</f>
        <v xml:space="preserve"> </v>
      </c>
      <c r="AO10" s="181" t="str">
        <f>IF(PSI!E12=0," ",PSI!E12)</f>
        <v xml:space="preserve"> </v>
      </c>
      <c r="AP10" s="181">
        <f>IF(PSI!F12=0," ",PSI!F12)</f>
        <v>22</v>
      </c>
      <c r="AQ10" s="199">
        <f>IF('REL.'!C12=0," ",'REL.'!C12)</f>
        <v>66.166666666666671</v>
      </c>
      <c r="AR10" s="48" t="str">
        <f>IF('REL.'!D12=0," ",'REL.'!D12)</f>
        <v xml:space="preserve"> </v>
      </c>
      <c r="AS10" s="48" t="str">
        <f>IF('REL.'!E12=0," ",'REL.'!E12)</f>
        <v xml:space="preserve"> </v>
      </c>
      <c r="AT10" s="95">
        <f>IF('REL.'!F12=0," ",'REL.'!F12)</f>
        <v>22</v>
      </c>
    </row>
    <row r="11" spans="1:46">
      <c r="A11" s="48">
        <f>NOMINA!A13</f>
        <v>8</v>
      </c>
      <c r="B11" s="85" t="str">
        <f>NOMINA!B13</f>
        <v>CALLE PEREZ ANDREA BELEN</v>
      </c>
      <c r="C11" s="199">
        <f>IF(LEN!C13=0," ",LEN!C13)</f>
        <v>78</v>
      </c>
      <c r="D11" s="181" t="str">
        <f>IF(LEN!D13=0," ",LEN!D13)</f>
        <v xml:space="preserve"> </v>
      </c>
      <c r="E11" s="181" t="str">
        <f>IF(LEN!E13=0," ",LEN!E13)</f>
        <v xml:space="preserve"> </v>
      </c>
      <c r="F11" s="186">
        <f>IF(LEN!F13=0," ",LEN!F13)</f>
        <v>26</v>
      </c>
      <c r="G11" s="199">
        <f>IF(ING!C13=0," ",ING!C13)</f>
        <v>80</v>
      </c>
      <c r="H11" s="181" t="str">
        <f>IF(ING!D13=0," ",ING!D13)</f>
        <v xml:space="preserve"> </v>
      </c>
      <c r="I11" s="181" t="str">
        <f>IF(ING!E13=0," ",ING!E13)</f>
        <v xml:space="preserve"> </v>
      </c>
      <c r="J11" s="200">
        <f>IF(ING!F13=0," ",ING!F13)</f>
        <v>27</v>
      </c>
      <c r="K11" s="201">
        <f>IF('C.SOC'!C13=0," ",'C.SOC'!C13)</f>
        <v>75</v>
      </c>
      <c r="L11" s="181" t="str">
        <f>IF('C.SOC'!D13=0," ",'C.SOC'!D13)</f>
        <v xml:space="preserve"> </v>
      </c>
      <c r="M11" s="181" t="str">
        <f>IF('C.SOC'!E13=0," ",'C.SOC'!E13)</f>
        <v xml:space="preserve"> </v>
      </c>
      <c r="N11" s="186">
        <f>IF('C.SOC'!F13=0," ",'C.SOC'!F13)</f>
        <v>25</v>
      </c>
      <c r="O11" s="199">
        <f>IF('E. FIS.'!C13=0," ",'E. FIS.'!C13)</f>
        <v>67</v>
      </c>
      <c r="P11" s="181" t="str">
        <f>IF('E. FIS.'!D13=0," ",'E. FIS.'!D13)</f>
        <v xml:space="preserve"> </v>
      </c>
      <c r="Q11" s="181" t="str">
        <f>IF('E. FIS.'!E13=0," ",'E. FIS.'!E13)</f>
        <v xml:space="preserve"> </v>
      </c>
      <c r="R11" s="200">
        <f>IF('E. FIS.'!F13=0," ",'E. FIS.'!F13)</f>
        <v>22</v>
      </c>
      <c r="S11" s="201">
        <f>IF(MUS.!C13=0," ",MUS.!C13)</f>
        <v>97</v>
      </c>
      <c r="T11" s="181" t="str">
        <f>IF(MUS.!D13=0," ",MUS.!D13)</f>
        <v xml:space="preserve"> </v>
      </c>
      <c r="U11" s="181" t="str">
        <f>IF(MUS.!E13=0," ",MUS.!E13)</f>
        <v xml:space="preserve"> </v>
      </c>
      <c r="V11" s="186">
        <f>IF(MUS.!F13=0," ",MUS.!F13)</f>
        <v>32</v>
      </c>
      <c r="W11" s="199">
        <f>IF('A.PL. '!C13=0," ",'A.PL. '!C13)</f>
        <v>69</v>
      </c>
      <c r="X11" s="181" t="str">
        <f>IF('A.PL. '!D13=0," ",'A.PL. '!D13)</f>
        <v xml:space="preserve"> </v>
      </c>
      <c r="Y11" s="181" t="str">
        <f>IF('A.PL. '!E13=0," ",'A.PL. '!E13)</f>
        <v xml:space="preserve"> </v>
      </c>
      <c r="Z11" s="200">
        <f>IF('A.PL. '!F13=0," ",'A.PL. '!F13)</f>
        <v>23</v>
      </c>
      <c r="AA11" s="199">
        <f>IF(MAT!C13=0," ",MAT!C13)</f>
        <v>93</v>
      </c>
      <c r="AB11" s="181" t="str">
        <f>IF(MAT!D13=0," ",MAT!D13)</f>
        <v xml:space="preserve"> </v>
      </c>
      <c r="AC11" s="181" t="str">
        <f>IF(MAT!E13=0," ",MAT!E13)</f>
        <v xml:space="preserve"> </v>
      </c>
      <c r="AD11" s="186">
        <f>IF(MAT!F13=0," ",MAT!F13)</f>
        <v>31</v>
      </c>
      <c r="AE11" s="202">
        <f>IF('T. TEC. GRAL'!C13=0," ",'T. TEC. GRAL'!C13)</f>
        <v>79</v>
      </c>
      <c r="AF11" s="186" t="str">
        <f>IF('T. TEC. GRAL'!D13=0," ",'T. TEC. GRAL'!D13)</f>
        <v xml:space="preserve"> </v>
      </c>
      <c r="AG11" s="186" t="str">
        <f>IF('T. TEC. GRAL'!E13=0," ",'T. TEC. GRAL'!E13)</f>
        <v xml:space="preserve"> </v>
      </c>
      <c r="AH11" s="200">
        <f>IF('T. TEC. GRAL'!F13=0," ",'T. TEC. GRAL'!F13)</f>
        <v>26</v>
      </c>
      <c r="AI11" s="201">
        <f>IF('BIO-GEO'!C13=0," ",'BIO-GEO'!C13)</f>
        <v>83</v>
      </c>
      <c r="AJ11" s="181" t="str">
        <f>IF('BIO-GEO'!D13=0," ",'BIO-GEO'!D13)</f>
        <v xml:space="preserve"> </v>
      </c>
      <c r="AK11" s="181" t="str">
        <f>IF('BIO-GEO'!E13=0," ",'BIO-GEO'!E13)</f>
        <v xml:space="preserve"> </v>
      </c>
      <c r="AL11" s="186">
        <f>IF('BIO-GEO'!F13=0," ",'BIO-GEO'!F13)</f>
        <v>28</v>
      </c>
      <c r="AM11" s="199">
        <f>IF(PSI!C13=0," ",PSI!C13)</f>
        <v>81</v>
      </c>
      <c r="AN11" s="181" t="str">
        <f>IF(PSI!D13=0," ",PSI!D13)</f>
        <v xml:space="preserve"> </v>
      </c>
      <c r="AO11" s="181" t="str">
        <f>IF(PSI!E13=0," ",PSI!E13)</f>
        <v xml:space="preserve"> </v>
      </c>
      <c r="AP11" s="181">
        <f>IF(PSI!F13=0," ",PSI!F13)</f>
        <v>27</v>
      </c>
      <c r="AQ11" s="199">
        <f>IF('REL.'!C13=0," ",'REL.'!C13)</f>
        <v>75.666666666666657</v>
      </c>
      <c r="AR11" s="48" t="str">
        <f>IF('REL.'!D13=0," ",'REL.'!D13)</f>
        <v xml:space="preserve"> </v>
      </c>
      <c r="AS11" s="48" t="str">
        <f>IF('REL.'!E13=0," ",'REL.'!E13)</f>
        <v xml:space="preserve"> </v>
      </c>
      <c r="AT11" s="95">
        <f>IF('REL.'!F13=0," ",'REL.'!F13)</f>
        <v>25</v>
      </c>
    </row>
    <row r="12" spans="1:46">
      <c r="A12" s="48">
        <f>NOMINA!A14</f>
        <v>9</v>
      </c>
      <c r="B12" s="85" t="str">
        <f>NOMINA!B14</f>
        <v>CHAVEZ AMURRIO SEBASTIAN FABIAN</v>
      </c>
      <c r="C12" s="199">
        <f>IF(LEN!C14=0," ",LEN!C14)</f>
        <v>44</v>
      </c>
      <c r="D12" s="181" t="str">
        <f>IF(LEN!D14=0," ",LEN!D14)</f>
        <v xml:space="preserve"> </v>
      </c>
      <c r="E12" s="181" t="str">
        <f>IF(LEN!E14=0," ",LEN!E14)</f>
        <v xml:space="preserve"> </v>
      </c>
      <c r="F12" s="186">
        <f>IF(LEN!F14=0," ",LEN!F14)</f>
        <v>15</v>
      </c>
      <c r="G12" s="199">
        <f>IF(ING!C14=0," ",ING!C14)</f>
        <v>45</v>
      </c>
      <c r="H12" s="181" t="str">
        <f>IF(ING!D14=0," ",ING!D14)</f>
        <v xml:space="preserve"> </v>
      </c>
      <c r="I12" s="181" t="str">
        <f>IF(ING!E14=0," ",ING!E14)</f>
        <v xml:space="preserve"> </v>
      </c>
      <c r="J12" s="200">
        <f>IF(ING!F14=0," ",ING!F14)</f>
        <v>15</v>
      </c>
      <c r="K12" s="201">
        <f>IF('C.SOC'!C14=0," ",'C.SOC'!C14)</f>
        <v>56</v>
      </c>
      <c r="L12" s="181" t="str">
        <f>IF('C.SOC'!D14=0," ",'C.SOC'!D14)</f>
        <v xml:space="preserve"> </v>
      </c>
      <c r="M12" s="181" t="str">
        <f>IF('C.SOC'!E14=0," ",'C.SOC'!E14)</f>
        <v xml:space="preserve"> </v>
      </c>
      <c r="N12" s="186">
        <f>IF('C.SOC'!F14=0," ",'C.SOC'!F14)</f>
        <v>19</v>
      </c>
      <c r="O12" s="199">
        <f>IF('E. FIS.'!C14=0," ",'E. FIS.'!C14)</f>
        <v>45</v>
      </c>
      <c r="P12" s="181" t="str">
        <f>IF('E. FIS.'!D14=0," ",'E. FIS.'!D14)</f>
        <v xml:space="preserve"> </v>
      </c>
      <c r="Q12" s="181" t="str">
        <f>IF('E. FIS.'!E14=0," ",'E. FIS.'!E14)</f>
        <v xml:space="preserve"> </v>
      </c>
      <c r="R12" s="200">
        <f>IF('E. FIS.'!F14=0," ",'E. FIS.'!F14)</f>
        <v>15</v>
      </c>
      <c r="S12" s="201">
        <f>IF(MUS.!C14=0," ",MUS.!C14)</f>
        <v>54</v>
      </c>
      <c r="T12" s="181" t="str">
        <f>IF(MUS.!D14=0," ",MUS.!D14)</f>
        <v xml:space="preserve"> </v>
      </c>
      <c r="U12" s="181" t="str">
        <f>IF(MUS.!E14=0," ",MUS.!E14)</f>
        <v xml:space="preserve"> </v>
      </c>
      <c r="V12" s="186">
        <f>IF(MUS.!F14=0," ",MUS.!F14)</f>
        <v>18</v>
      </c>
      <c r="W12" s="199">
        <f>IF('A.PL. '!C14=0," ",'A.PL. '!C14)</f>
        <v>67</v>
      </c>
      <c r="X12" s="181" t="str">
        <f>IF('A.PL. '!D14=0," ",'A.PL. '!D14)</f>
        <v xml:space="preserve"> </v>
      </c>
      <c r="Y12" s="181" t="str">
        <f>IF('A.PL. '!E14=0," ",'A.PL. '!E14)</f>
        <v xml:space="preserve"> </v>
      </c>
      <c r="Z12" s="200">
        <f>IF('A.PL. '!F14=0," ",'A.PL. '!F14)</f>
        <v>22</v>
      </c>
      <c r="AA12" s="199">
        <f>IF(MAT!C14=0," ",MAT!C14)</f>
        <v>49</v>
      </c>
      <c r="AB12" s="181" t="str">
        <f>IF(MAT!D14=0," ",MAT!D14)</f>
        <v xml:space="preserve"> </v>
      </c>
      <c r="AC12" s="181" t="str">
        <f>IF(MAT!E14=0," ",MAT!E14)</f>
        <v xml:space="preserve"> </v>
      </c>
      <c r="AD12" s="186">
        <f>IF(MAT!F14=0," ",MAT!F14)</f>
        <v>16</v>
      </c>
      <c r="AE12" s="202">
        <f>IF('T. TEC. GRAL'!C14=0," ",'T. TEC. GRAL'!C14)</f>
        <v>44</v>
      </c>
      <c r="AF12" s="186" t="str">
        <f>IF('T. TEC. GRAL'!D14=0," ",'T. TEC. GRAL'!D14)</f>
        <v xml:space="preserve"> </v>
      </c>
      <c r="AG12" s="186" t="str">
        <f>IF('T. TEC. GRAL'!E14=0," ",'T. TEC. GRAL'!E14)</f>
        <v xml:space="preserve"> </v>
      </c>
      <c r="AH12" s="200">
        <f>IF('T. TEC. GRAL'!F14=0," ",'T. TEC. GRAL'!F14)</f>
        <v>15</v>
      </c>
      <c r="AI12" s="201">
        <f>IF('BIO-GEO'!C14=0," ",'BIO-GEO'!C14)</f>
        <v>35</v>
      </c>
      <c r="AJ12" s="181" t="str">
        <f>IF('BIO-GEO'!D14=0," ",'BIO-GEO'!D14)</f>
        <v xml:space="preserve"> </v>
      </c>
      <c r="AK12" s="181" t="str">
        <f>IF('BIO-GEO'!E14=0," ",'BIO-GEO'!E14)</f>
        <v xml:space="preserve"> </v>
      </c>
      <c r="AL12" s="186">
        <f>IF('BIO-GEO'!F14=0," ",'BIO-GEO'!F14)</f>
        <v>12</v>
      </c>
      <c r="AM12" s="199">
        <f>IF(PSI!C14=0," ",PSI!C14)</f>
        <v>45</v>
      </c>
      <c r="AN12" s="181" t="str">
        <f>IF(PSI!D14=0," ",PSI!D14)</f>
        <v xml:space="preserve"> </v>
      </c>
      <c r="AO12" s="181" t="str">
        <f>IF(PSI!E14=0," ",PSI!E14)</f>
        <v xml:space="preserve"> </v>
      </c>
      <c r="AP12" s="181">
        <f>IF(PSI!F14=0," ",PSI!F14)</f>
        <v>15</v>
      </c>
      <c r="AQ12" s="199">
        <f>IF('REL.'!C14=0," ",'REL.'!C14)</f>
        <v>52.25</v>
      </c>
      <c r="AR12" s="48" t="str">
        <f>IF('REL.'!D14=0," ",'REL.'!D14)</f>
        <v xml:space="preserve"> </v>
      </c>
      <c r="AS12" s="48" t="str">
        <f>IF('REL.'!E14=0," ",'REL.'!E14)</f>
        <v xml:space="preserve"> </v>
      </c>
      <c r="AT12" s="95">
        <f>IF('REL.'!F14=0," ",'REL.'!F14)</f>
        <v>17</v>
      </c>
    </row>
    <row r="13" spans="1:46">
      <c r="A13" s="48">
        <f>NOMINA!A15</f>
        <v>10</v>
      </c>
      <c r="B13" s="85" t="str">
        <f>NOMINA!B15</f>
        <v>CHOQUE ARISPE YURIANA LUCIA</v>
      </c>
      <c r="C13" s="199">
        <f>IF(LEN!C15=0," ",LEN!C15)</f>
        <v>51</v>
      </c>
      <c r="D13" s="181" t="str">
        <f>IF(LEN!D15=0," ",LEN!D15)</f>
        <v xml:space="preserve"> </v>
      </c>
      <c r="E13" s="181" t="str">
        <f>IF(LEN!E15=0," ",LEN!E15)</f>
        <v xml:space="preserve"> </v>
      </c>
      <c r="F13" s="186">
        <f>IF(LEN!F15=0," ",LEN!F15)</f>
        <v>17</v>
      </c>
      <c r="G13" s="199">
        <f>IF(ING!C15=0," ",ING!C15)</f>
        <v>58</v>
      </c>
      <c r="H13" s="181" t="str">
        <f>IF(ING!D15=0," ",ING!D15)</f>
        <v xml:space="preserve"> </v>
      </c>
      <c r="I13" s="181" t="str">
        <f>IF(ING!E15=0," ",ING!E15)</f>
        <v xml:space="preserve"> </v>
      </c>
      <c r="J13" s="200">
        <f>IF(ING!F15=0," ",ING!F15)</f>
        <v>19</v>
      </c>
      <c r="K13" s="201">
        <f>IF('C.SOC'!C15=0," ",'C.SOC'!C15)</f>
        <v>44</v>
      </c>
      <c r="L13" s="181" t="str">
        <f>IF('C.SOC'!D15=0," ",'C.SOC'!D15)</f>
        <v xml:space="preserve"> </v>
      </c>
      <c r="M13" s="181" t="str">
        <f>IF('C.SOC'!E15=0," ",'C.SOC'!E15)</f>
        <v xml:space="preserve"> </v>
      </c>
      <c r="N13" s="186">
        <f>IF('C.SOC'!F15=0," ",'C.SOC'!F15)</f>
        <v>15</v>
      </c>
      <c r="O13" s="199">
        <f>IF('E. FIS.'!C15=0," ",'E. FIS.'!C15)</f>
        <v>55</v>
      </c>
      <c r="P13" s="181" t="str">
        <f>IF('E. FIS.'!D15=0," ",'E. FIS.'!D15)</f>
        <v xml:space="preserve"> </v>
      </c>
      <c r="Q13" s="181" t="str">
        <f>IF('E. FIS.'!E15=0," ",'E. FIS.'!E15)</f>
        <v xml:space="preserve"> </v>
      </c>
      <c r="R13" s="200">
        <f>IF('E. FIS.'!F15=0," ",'E. FIS.'!F15)</f>
        <v>18</v>
      </c>
      <c r="S13" s="201">
        <f>IF(MUS.!C15=0," ",MUS.!C15)</f>
        <v>58</v>
      </c>
      <c r="T13" s="181" t="str">
        <f>IF(MUS.!D15=0," ",MUS.!D15)</f>
        <v xml:space="preserve"> </v>
      </c>
      <c r="U13" s="181" t="str">
        <f>IF(MUS.!E15=0," ",MUS.!E15)</f>
        <v xml:space="preserve"> </v>
      </c>
      <c r="V13" s="186">
        <f>IF(MUS.!F15=0," ",MUS.!F15)</f>
        <v>19</v>
      </c>
      <c r="W13" s="199">
        <f>IF('A.PL. '!C15=0," ",'A.PL. '!C15)</f>
        <v>66</v>
      </c>
      <c r="X13" s="181" t="str">
        <f>IF('A.PL. '!D15=0," ",'A.PL. '!D15)</f>
        <v xml:space="preserve"> </v>
      </c>
      <c r="Y13" s="181" t="str">
        <f>IF('A.PL. '!E15=0," ",'A.PL. '!E15)</f>
        <v xml:space="preserve"> </v>
      </c>
      <c r="Z13" s="200">
        <f>IF('A.PL. '!F15=0," ",'A.PL. '!F15)</f>
        <v>22</v>
      </c>
      <c r="AA13" s="199">
        <f>IF(MAT!C15=0," ",MAT!C15)</f>
        <v>52</v>
      </c>
      <c r="AB13" s="181" t="str">
        <f>IF(MAT!D15=0," ",MAT!D15)</f>
        <v xml:space="preserve"> </v>
      </c>
      <c r="AC13" s="181" t="str">
        <f>IF(MAT!E15=0," ",MAT!E15)</f>
        <v xml:space="preserve"> </v>
      </c>
      <c r="AD13" s="186">
        <f>IF(MAT!F15=0," ",MAT!F15)</f>
        <v>17</v>
      </c>
      <c r="AE13" s="202">
        <f>IF('T. TEC. GRAL'!C15=0," ",'T. TEC. GRAL'!C15)</f>
        <v>67</v>
      </c>
      <c r="AF13" s="186" t="str">
        <f>IF('T. TEC. GRAL'!D15=0," ",'T. TEC. GRAL'!D15)</f>
        <v xml:space="preserve"> </v>
      </c>
      <c r="AG13" s="186" t="str">
        <f>IF('T. TEC. GRAL'!E15=0," ",'T. TEC. GRAL'!E15)</f>
        <v xml:space="preserve"> </v>
      </c>
      <c r="AH13" s="200">
        <f>IF('T. TEC. GRAL'!F15=0," ",'T. TEC. GRAL'!F15)</f>
        <v>22</v>
      </c>
      <c r="AI13" s="201">
        <f>IF('BIO-GEO'!C15=0," ",'BIO-GEO'!C15)</f>
        <v>67</v>
      </c>
      <c r="AJ13" s="181" t="str">
        <f>IF('BIO-GEO'!D15=0," ",'BIO-GEO'!D15)</f>
        <v xml:space="preserve"> </v>
      </c>
      <c r="AK13" s="181" t="str">
        <f>IF('BIO-GEO'!E15=0," ",'BIO-GEO'!E15)</f>
        <v xml:space="preserve"> </v>
      </c>
      <c r="AL13" s="186">
        <f>IF('BIO-GEO'!F15=0," ",'BIO-GEO'!F15)</f>
        <v>22</v>
      </c>
      <c r="AM13" s="199">
        <f>IF(PSI!C15=0," ",PSI!C15)</f>
        <v>67</v>
      </c>
      <c r="AN13" s="181" t="str">
        <f>IF(PSI!D15=0," ",PSI!D15)</f>
        <v xml:space="preserve"> </v>
      </c>
      <c r="AO13" s="181" t="str">
        <f>IF(PSI!E15=0," ",PSI!E15)</f>
        <v xml:space="preserve"> </v>
      </c>
      <c r="AP13" s="181">
        <f>IF(PSI!F15=0," ",PSI!F15)</f>
        <v>22</v>
      </c>
      <c r="AQ13" s="199">
        <f>IF('REL.'!C15=0," ",'REL.'!C15)</f>
        <v>63.75</v>
      </c>
      <c r="AR13" s="48" t="str">
        <f>IF('REL.'!D15=0," ",'REL.'!D15)</f>
        <v xml:space="preserve"> </v>
      </c>
      <c r="AS13" s="48" t="str">
        <f>IF('REL.'!E15=0," ",'REL.'!E15)</f>
        <v xml:space="preserve"> </v>
      </c>
      <c r="AT13" s="95">
        <f>IF('REL.'!F15=0," ",'REL.'!F15)</f>
        <v>21</v>
      </c>
    </row>
    <row r="14" spans="1:46">
      <c r="A14" s="48">
        <f>NOMINA!A16</f>
        <v>11</v>
      </c>
      <c r="B14" s="85" t="str">
        <f>NOMINA!B16</f>
        <v>CHOQUE PERALTA JHOEL ELIAZAR</v>
      </c>
      <c r="C14" s="199">
        <f>IF(LEN!C16=0," ",LEN!C16)</f>
        <v>85</v>
      </c>
      <c r="D14" s="181" t="str">
        <f>IF(LEN!D16=0," ",LEN!D16)</f>
        <v xml:space="preserve"> </v>
      </c>
      <c r="E14" s="181" t="str">
        <f>IF(LEN!E16=0," ",LEN!E16)</f>
        <v xml:space="preserve"> </v>
      </c>
      <c r="F14" s="186">
        <f>IF(LEN!F16=0," ",LEN!F16)</f>
        <v>28</v>
      </c>
      <c r="G14" s="199">
        <f>IF(ING!C16=0," ",ING!C16)</f>
        <v>90</v>
      </c>
      <c r="H14" s="181" t="str">
        <f>IF(ING!D16=0," ",ING!D16)</f>
        <v xml:space="preserve"> </v>
      </c>
      <c r="I14" s="181" t="str">
        <f>IF(ING!E16=0," ",ING!E16)</f>
        <v xml:space="preserve"> </v>
      </c>
      <c r="J14" s="200">
        <f>IF(ING!F16=0," ",ING!F16)</f>
        <v>30</v>
      </c>
      <c r="K14" s="201">
        <f>IF('C.SOC'!C16=0," ",'C.SOC'!C16)</f>
        <v>82</v>
      </c>
      <c r="L14" s="181" t="str">
        <f>IF('C.SOC'!D16=0," ",'C.SOC'!D16)</f>
        <v xml:space="preserve"> </v>
      </c>
      <c r="M14" s="181" t="str">
        <f>IF('C.SOC'!E16=0," ",'C.SOC'!E16)</f>
        <v xml:space="preserve"> </v>
      </c>
      <c r="N14" s="186">
        <f>IF('C.SOC'!F16=0," ",'C.SOC'!F16)</f>
        <v>27</v>
      </c>
      <c r="O14" s="199">
        <f>IF('E. FIS.'!C16=0," ",'E. FIS.'!C16)</f>
        <v>74</v>
      </c>
      <c r="P14" s="181" t="str">
        <f>IF('E. FIS.'!D16=0," ",'E. FIS.'!D16)</f>
        <v xml:space="preserve"> </v>
      </c>
      <c r="Q14" s="181" t="str">
        <f>IF('E. FIS.'!E16=0," ",'E. FIS.'!E16)</f>
        <v xml:space="preserve"> </v>
      </c>
      <c r="R14" s="200">
        <f>IF('E. FIS.'!F16=0," ",'E. FIS.'!F16)</f>
        <v>25</v>
      </c>
      <c r="S14" s="201">
        <f>IF(MUS.!C16=0," ",MUS.!C16)</f>
        <v>94</v>
      </c>
      <c r="T14" s="181" t="str">
        <f>IF(MUS.!D16=0," ",MUS.!D16)</f>
        <v xml:space="preserve"> </v>
      </c>
      <c r="U14" s="181" t="str">
        <f>IF(MUS.!E16=0," ",MUS.!E16)</f>
        <v xml:space="preserve"> </v>
      </c>
      <c r="V14" s="186">
        <f>IF(MUS.!F16=0," ",MUS.!F16)</f>
        <v>31</v>
      </c>
      <c r="W14" s="199">
        <f>IF('A.PL. '!C16=0," ",'A.PL. '!C16)</f>
        <v>73</v>
      </c>
      <c r="X14" s="181" t="str">
        <f>IF('A.PL. '!D16=0," ",'A.PL. '!D16)</f>
        <v xml:space="preserve"> </v>
      </c>
      <c r="Y14" s="181" t="str">
        <f>IF('A.PL. '!E16=0," ",'A.PL. '!E16)</f>
        <v xml:space="preserve"> </v>
      </c>
      <c r="Z14" s="200">
        <f>IF('A.PL. '!F16=0," ",'A.PL. '!F16)</f>
        <v>24</v>
      </c>
      <c r="AA14" s="199">
        <f>IF(MAT!C16=0," ",MAT!C16)</f>
        <v>83</v>
      </c>
      <c r="AB14" s="181" t="str">
        <f>IF(MAT!D16=0," ",MAT!D16)</f>
        <v xml:space="preserve"> </v>
      </c>
      <c r="AC14" s="181" t="str">
        <f>IF(MAT!E16=0," ",MAT!E16)</f>
        <v xml:space="preserve"> </v>
      </c>
      <c r="AD14" s="186">
        <f>IF(MAT!F16=0," ",MAT!F16)</f>
        <v>28</v>
      </c>
      <c r="AE14" s="202">
        <f>IF('T. TEC. GRAL'!C16=0," ",'T. TEC. GRAL'!C16)</f>
        <v>65</v>
      </c>
      <c r="AF14" s="186" t="str">
        <f>IF('T. TEC. GRAL'!D16=0," ",'T. TEC. GRAL'!D16)</f>
        <v xml:space="preserve"> </v>
      </c>
      <c r="AG14" s="186" t="str">
        <f>IF('T. TEC. GRAL'!E16=0," ",'T. TEC. GRAL'!E16)</f>
        <v xml:space="preserve"> </v>
      </c>
      <c r="AH14" s="200">
        <f>IF('T. TEC. GRAL'!F16=0," ",'T. TEC. GRAL'!F16)</f>
        <v>22</v>
      </c>
      <c r="AI14" s="201">
        <f>IF('BIO-GEO'!C16=0," ",'BIO-GEO'!C16)</f>
        <v>82</v>
      </c>
      <c r="AJ14" s="181" t="str">
        <f>IF('BIO-GEO'!D16=0," ",'BIO-GEO'!D16)</f>
        <v xml:space="preserve"> </v>
      </c>
      <c r="AK14" s="181" t="str">
        <f>IF('BIO-GEO'!E16=0," ",'BIO-GEO'!E16)</f>
        <v xml:space="preserve"> </v>
      </c>
      <c r="AL14" s="186">
        <f>IF('BIO-GEO'!F16=0," ",'BIO-GEO'!F16)</f>
        <v>27</v>
      </c>
      <c r="AM14" s="199">
        <f>IF(PSI!C16=0," ",PSI!C16)</f>
        <v>83</v>
      </c>
      <c r="AN14" s="181" t="str">
        <f>IF(PSI!D16=0," ",PSI!D16)</f>
        <v xml:space="preserve"> </v>
      </c>
      <c r="AO14" s="181" t="str">
        <f>IF(PSI!E16=0," ",PSI!E16)</f>
        <v xml:space="preserve"> </v>
      </c>
      <c r="AP14" s="181">
        <f>IF(PSI!F16=0," ",PSI!F16)</f>
        <v>28</v>
      </c>
      <c r="AQ14" s="199">
        <f>IF('REL.'!C16=0," ",'REL.'!C16)</f>
        <v>68.833333333333329</v>
      </c>
      <c r="AR14" s="48" t="str">
        <f>IF('REL.'!D16=0," ",'REL.'!D16)</f>
        <v xml:space="preserve"> </v>
      </c>
      <c r="AS14" s="48" t="str">
        <f>IF('REL.'!E16=0," ",'REL.'!E16)</f>
        <v xml:space="preserve"> </v>
      </c>
      <c r="AT14" s="95">
        <f>IF('REL.'!F16=0," ",'REL.'!F16)</f>
        <v>23</v>
      </c>
    </row>
    <row r="15" spans="1:46">
      <c r="A15" s="48">
        <f>NOMINA!A17</f>
        <v>12</v>
      </c>
      <c r="B15" s="85" t="str">
        <f>NOMINA!B17</f>
        <v>COPA RIVERO MARCIA MARCELA</v>
      </c>
      <c r="C15" s="199">
        <f>IF(LEN!C17=0," ",LEN!C17)</f>
        <v>43</v>
      </c>
      <c r="D15" s="181" t="str">
        <f>IF(LEN!D17=0," ",LEN!D17)</f>
        <v xml:space="preserve"> </v>
      </c>
      <c r="E15" s="181" t="str">
        <f>IF(LEN!E17=0," ",LEN!E17)</f>
        <v xml:space="preserve"> </v>
      </c>
      <c r="F15" s="186">
        <f>IF(LEN!F17=0," ",LEN!F17)</f>
        <v>14</v>
      </c>
      <c r="G15" s="199">
        <f>IF(ING!C17=0," ",ING!C17)</f>
        <v>67</v>
      </c>
      <c r="H15" s="181" t="str">
        <f>IF(ING!D17=0," ",ING!D17)</f>
        <v xml:space="preserve"> </v>
      </c>
      <c r="I15" s="181" t="str">
        <f>IF(ING!E17=0," ",ING!E17)</f>
        <v xml:space="preserve"> </v>
      </c>
      <c r="J15" s="200">
        <f>IF(ING!F17=0," ",ING!F17)</f>
        <v>22</v>
      </c>
      <c r="K15" s="201">
        <f>IF('C.SOC'!C17=0," ",'C.SOC'!C17)</f>
        <v>51</v>
      </c>
      <c r="L15" s="181" t="str">
        <f>IF('C.SOC'!D17=0," ",'C.SOC'!D17)</f>
        <v xml:space="preserve"> </v>
      </c>
      <c r="M15" s="181" t="str">
        <f>IF('C.SOC'!E17=0," ",'C.SOC'!E17)</f>
        <v xml:space="preserve"> </v>
      </c>
      <c r="N15" s="186">
        <f>IF('C.SOC'!F17=0," ",'C.SOC'!F17)</f>
        <v>17</v>
      </c>
      <c r="O15" s="199">
        <f>IF('E. FIS.'!C17=0," ",'E. FIS.'!C17)</f>
        <v>80</v>
      </c>
      <c r="P15" s="181" t="str">
        <f>IF('E. FIS.'!D17=0," ",'E. FIS.'!D17)</f>
        <v xml:space="preserve"> </v>
      </c>
      <c r="Q15" s="181" t="str">
        <f>IF('E. FIS.'!E17=0," ",'E. FIS.'!E17)</f>
        <v xml:space="preserve"> </v>
      </c>
      <c r="R15" s="200">
        <f>IF('E. FIS.'!F17=0," ",'E. FIS.'!F17)</f>
        <v>27</v>
      </c>
      <c r="S15" s="201">
        <f>IF(MUS.!C17=0," ",MUS.!C17)</f>
        <v>70</v>
      </c>
      <c r="T15" s="181" t="str">
        <f>IF(MUS.!D17=0," ",MUS.!D17)</f>
        <v xml:space="preserve"> </v>
      </c>
      <c r="U15" s="181" t="str">
        <f>IF(MUS.!E17=0," ",MUS.!E17)</f>
        <v xml:space="preserve"> </v>
      </c>
      <c r="V15" s="186">
        <f>IF(MUS.!F17=0," ",MUS.!F17)</f>
        <v>23</v>
      </c>
      <c r="W15" s="199">
        <f>IF('A.PL. '!C17=0," ",'A.PL. '!C17)</f>
        <v>61</v>
      </c>
      <c r="X15" s="181" t="str">
        <f>IF('A.PL. '!D17=0," ",'A.PL. '!D17)</f>
        <v xml:space="preserve"> </v>
      </c>
      <c r="Y15" s="181" t="str">
        <f>IF('A.PL. '!E17=0," ",'A.PL. '!E17)</f>
        <v xml:space="preserve"> </v>
      </c>
      <c r="Z15" s="200">
        <f>IF('A.PL. '!F17=0," ",'A.PL. '!F17)</f>
        <v>20</v>
      </c>
      <c r="AA15" s="199">
        <f>IF(MAT!C17=0," ",MAT!C17)</f>
        <v>52</v>
      </c>
      <c r="AB15" s="181" t="str">
        <f>IF(MAT!D17=0," ",MAT!D17)</f>
        <v xml:space="preserve"> </v>
      </c>
      <c r="AC15" s="181" t="str">
        <f>IF(MAT!E17=0," ",MAT!E17)</f>
        <v xml:space="preserve"> </v>
      </c>
      <c r="AD15" s="186">
        <f>IF(MAT!F17=0," ",MAT!F17)</f>
        <v>17</v>
      </c>
      <c r="AE15" s="202">
        <f>IF('T. TEC. GRAL'!C17=0," ",'T. TEC. GRAL'!C17)</f>
        <v>56</v>
      </c>
      <c r="AF15" s="186" t="str">
        <f>IF('T. TEC. GRAL'!D17=0," ",'T. TEC. GRAL'!D17)</f>
        <v xml:space="preserve"> </v>
      </c>
      <c r="AG15" s="186" t="str">
        <f>IF('T. TEC. GRAL'!E17=0," ",'T. TEC. GRAL'!E17)</f>
        <v xml:space="preserve"> </v>
      </c>
      <c r="AH15" s="200">
        <f>IF('T. TEC. GRAL'!F17=0," ",'T. TEC. GRAL'!F17)</f>
        <v>19</v>
      </c>
      <c r="AI15" s="201">
        <f>IF('BIO-GEO'!C17=0," ",'BIO-GEO'!C17)</f>
        <v>59</v>
      </c>
      <c r="AJ15" s="181" t="str">
        <f>IF('BIO-GEO'!D17=0," ",'BIO-GEO'!D17)</f>
        <v xml:space="preserve"> </v>
      </c>
      <c r="AK15" s="181" t="str">
        <f>IF('BIO-GEO'!E17=0," ",'BIO-GEO'!E17)</f>
        <v xml:space="preserve"> </v>
      </c>
      <c r="AL15" s="186">
        <f>IF('BIO-GEO'!F17=0," ",'BIO-GEO'!F17)</f>
        <v>20</v>
      </c>
      <c r="AM15" s="199">
        <f>IF(PSI!C17=0," ",PSI!C17)</f>
        <v>51</v>
      </c>
      <c r="AN15" s="181" t="str">
        <f>IF(PSI!D17=0," ",PSI!D17)</f>
        <v xml:space="preserve"> </v>
      </c>
      <c r="AO15" s="181" t="str">
        <f>IF(PSI!E17=0," ",PSI!E17)</f>
        <v xml:space="preserve"> </v>
      </c>
      <c r="AP15" s="181">
        <f>IF(PSI!F17=0," ",PSI!F17)</f>
        <v>17</v>
      </c>
      <c r="AQ15" s="199">
        <f>IF('REL.'!C17=0," ",'REL.'!C17)</f>
        <v>70.666666666666671</v>
      </c>
      <c r="AR15" s="48" t="str">
        <f>IF('REL.'!D17=0," ",'REL.'!D17)</f>
        <v xml:space="preserve"> </v>
      </c>
      <c r="AS15" s="48" t="str">
        <f>IF('REL.'!E17=0," ",'REL.'!E17)</f>
        <v xml:space="preserve"> </v>
      </c>
      <c r="AT15" s="95">
        <f>IF('REL.'!F17=0," ",'REL.'!F17)</f>
        <v>24</v>
      </c>
    </row>
    <row r="16" spans="1:46">
      <c r="A16" s="48">
        <f>NOMINA!A18</f>
        <v>13</v>
      </c>
      <c r="B16" s="85" t="str">
        <f>NOMINA!B18</f>
        <v>CORIA URUÑO CHRISTOPER GABRIEL</v>
      </c>
      <c r="C16" s="199">
        <f>IF(LEN!C18=0," ",LEN!C18)</f>
        <v>69</v>
      </c>
      <c r="D16" s="181" t="str">
        <f>IF(LEN!D18=0," ",LEN!D18)</f>
        <v xml:space="preserve"> </v>
      </c>
      <c r="E16" s="181" t="str">
        <f>IF(LEN!E18=0," ",LEN!E18)</f>
        <v xml:space="preserve"> </v>
      </c>
      <c r="F16" s="186">
        <f>IF(LEN!F18=0," ",LEN!F18)</f>
        <v>23</v>
      </c>
      <c r="G16" s="199">
        <f>IF(ING!C18=0," ",ING!C18)</f>
        <v>76</v>
      </c>
      <c r="H16" s="181" t="str">
        <f>IF(ING!D18=0," ",ING!D18)</f>
        <v xml:space="preserve"> </v>
      </c>
      <c r="I16" s="181" t="str">
        <f>IF(ING!E18=0," ",ING!E18)</f>
        <v xml:space="preserve"> </v>
      </c>
      <c r="J16" s="200">
        <f>IF(ING!F18=0," ",ING!F18)</f>
        <v>25</v>
      </c>
      <c r="K16" s="201">
        <f>IF('C.SOC'!C18=0," ",'C.SOC'!C18)</f>
        <v>51</v>
      </c>
      <c r="L16" s="181" t="str">
        <f>IF('C.SOC'!D18=0," ",'C.SOC'!D18)</f>
        <v xml:space="preserve"> </v>
      </c>
      <c r="M16" s="181" t="str">
        <f>IF('C.SOC'!E18=0," ",'C.SOC'!E18)</f>
        <v xml:space="preserve"> </v>
      </c>
      <c r="N16" s="186">
        <f>IF('C.SOC'!F18=0," ",'C.SOC'!F18)</f>
        <v>17</v>
      </c>
      <c r="O16" s="199">
        <f>IF('E. FIS.'!C18=0," ",'E. FIS.'!C18)</f>
        <v>78</v>
      </c>
      <c r="P16" s="181" t="str">
        <f>IF('E. FIS.'!D18=0," ",'E. FIS.'!D18)</f>
        <v xml:space="preserve"> </v>
      </c>
      <c r="Q16" s="181" t="str">
        <f>IF('E. FIS.'!E18=0," ",'E. FIS.'!E18)</f>
        <v xml:space="preserve"> </v>
      </c>
      <c r="R16" s="200">
        <f>IF('E. FIS.'!F18=0," ",'E. FIS.'!F18)</f>
        <v>26</v>
      </c>
      <c r="S16" s="201">
        <f>IF(MUS.!C18=0," ",MUS.!C18)</f>
        <v>93</v>
      </c>
      <c r="T16" s="181" t="str">
        <f>IF(MUS.!D18=0," ",MUS.!D18)</f>
        <v xml:space="preserve"> </v>
      </c>
      <c r="U16" s="181" t="str">
        <f>IF(MUS.!E18=0," ",MUS.!E18)</f>
        <v xml:space="preserve"> </v>
      </c>
      <c r="V16" s="186">
        <f>IF(MUS.!F18=0," ",MUS.!F18)</f>
        <v>31</v>
      </c>
      <c r="W16" s="199">
        <f>IF('A.PL. '!C18=0," ",'A.PL. '!C18)</f>
        <v>62</v>
      </c>
      <c r="X16" s="181" t="str">
        <f>IF('A.PL. '!D18=0," ",'A.PL. '!D18)</f>
        <v xml:space="preserve"> </v>
      </c>
      <c r="Y16" s="181" t="str">
        <f>IF('A.PL. '!E18=0," ",'A.PL. '!E18)</f>
        <v xml:space="preserve"> </v>
      </c>
      <c r="Z16" s="200">
        <f>IF('A.PL. '!F18=0," ",'A.PL. '!F18)</f>
        <v>21</v>
      </c>
      <c r="AA16" s="199">
        <f>IF(MAT!C18=0," ",MAT!C18)</f>
        <v>86</v>
      </c>
      <c r="AB16" s="181" t="str">
        <f>IF(MAT!D18=0," ",MAT!D18)</f>
        <v xml:space="preserve"> </v>
      </c>
      <c r="AC16" s="181" t="str">
        <f>IF(MAT!E18=0," ",MAT!E18)</f>
        <v xml:space="preserve"> </v>
      </c>
      <c r="AD16" s="186">
        <f>IF(MAT!F18=0," ",MAT!F18)</f>
        <v>29</v>
      </c>
      <c r="AE16" s="202">
        <f>IF('T. TEC. GRAL'!C18=0," ",'T. TEC. GRAL'!C18)</f>
        <v>68</v>
      </c>
      <c r="AF16" s="186" t="str">
        <f>IF('T. TEC. GRAL'!D18=0," ",'T. TEC. GRAL'!D18)</f>
        <v xml:space="preserve"> </v>
      </c>
      <c r="AG16" s="186" t="str">
        <f>IF('T. TEC. GRAL'!E18=0," ",'T. TEC. GRAL'!E18)</f>
        <v xml:space="preserve"> </v>
      </c>
      <c r="AH16" s="200">
        <f>IF('T. TEC. GRAL'!F18=0," ",'T. TEC. GRAL'!F18)</f>
        <v>23</v>
      </c>
      <c r="AI16" s="201">
        <f>IF('BIO-GEO'!C18=0," ",'BIO-GEO'!C18)</f>
        <v>78</v>
      </c>
      <c r="AJ16" s="181" t="str">
        <f>IF('BIO-GEO'!D18=0," ",'BIO-GEO'!D18)</f>
        <v xml:space="preserve"> </v>
      </c>
      <c r="AK16" s="181" t="str">
        <f>IF('BIO-GEO'!E18=0," ",'BIO-GEO'!E18)</f>
        <v xml:space="preserve"> </v>
      </c>
      <c r="AL16" s="186">
        <f>IF('BIO-GEO'!F18=0," ",'BIO-GEO'!F18)</f>
        <v>26</v>
      </c>
      <c r="AM16" s="199">
        <f>IF(PSI!C18=0," ",PSI!C18)</f>
        <v>69</v>
      </c>
      <c r="AN16" s="181" t="str">
        <f>IF(PSI!D18=0," ",PSI!D18)</f>
        <v xml:space="preserve"> </v>
      </c>
      <c r="AO16" s="181" t="str">
        <f>IF(PSI!E18=0," ",PSI!E18)</f>
        <v xml:space="preserve"> </v>
      </c>
      <c r="AP16" s="181">
        <f>IF(PSI!F18=0," ",PSI!F18)</f>
        <v>23</v>
      </c>
      <c r="AQ16" s="199">
        <f>IF('REL.'!C18=0," ",'REL.'!C18)</f>
        <v>61.416666666666671</v>
      </c>
      <c r="AR16" s="48" t="str">
        <f>IF('REL.'!D18=0," ",'REL.'!D18)</f>
        <v xml:space="preserve"> </v>
      </c>
      <c r="AS16" s="48" t="str">
        <f>IF('REL.'!E18=0," ",'REL.'!E18)</f>
        <v xml:space="preserve"> </v>
      </c>
      <c r="AT16" s="95">
        <f>IF('REL.'!F18=0," ",'REL.'!F18)</f>
        <v>20</v>
      </c>
    </row>
    <row r="17" spans="1:46">
      <c r="A17" s="48">
        <f>NOMINA!A19</f>
        <v>14</v>
      </c>
      <c r="B17" s="85" t="str">
        <f>NOMINA!B19</f>
        <v>FLORES BALLESTEROS LEANDRO FRANK</v>
      </c>
      <c r="C17" s="199">
        <f>IF(LEN!C19=0," ",LEN!C19)</f>
        <v>68</v>
      </c>
      <c r="D17" s="181" t="str">
        <f>IF(LEN!D19=0," ",LEN!D19)</f>
        <v xml:space="preserve"> </v>
      </c>
      <c r="E17" s="181" t="str">
        <f>IF(LEN!E19=0," ",LEN!E19)</f>
        <v xml:space="preserve"> </v>
      </c>
      <c r="F17" s="186">
        <f>IF(LEN!F19=0," ",LEN!F19)</f>
        <v>23</v>
      </c>
      <c r="G17" s="199">
        <f>IF(ING!C19=0," ",ING!C19)</f>
        <v>61</v>
      </c>
      <c r="H17" s="181" t="str">
        <f>IF(ING!D19=0," ",ING!D19)</f>
        <v xml:space="preserve"> </v>
      </c>
      <c r="I17" s="181" t="str">
        <f>IF(ING!E19=0," ",ING!E19)</f>
        <v xml:space="preserve"> </v>
      </c>
      <c r="J17" s="200">
        <f>IF(ING!F19=0," ",ING!F19)</f>
        <v>20</v>
      </c>
      <c r="K17" s="201">
        <f>IF('C.SOC'!C19=0," ",'C.SOC'!C19)</f>
        <v>54</v>
      </c>
      <c r="L17" s="181" t="str">
        <f>IF('C.SOC'!D19=0," ",'C.SOC'!D19)</f>
        <v xml:space="preserve"> </v>
      </c>
      <c r="M17" s="181" t="str">
        <f>IF('C.SOC'!E19=0," ",'C.SOC'!E19)</f>
        <v xml:space="preserve"> </v>
      </c>
      <c r="N17" s="186">
        <f>IF('C.SOC'!F19=0," ",'C.SOC'!F19)</f>
        <v>18</v>
      </c>
      <c r="O17" s="199">
        <f>IF('E. FIS.'!C19=0," ",'E. FIS.'!C19)</f>
        <v>72</v>
      </c>
      <c r="P17" s="181" t="str">
        <f>IF('E. FIS.'!D19=0," ",'E. FIS.'!D19)</f>
        <v xml:space="preserve"> </v>
      </c>
      <c r="Q17" s="181" t="str">
        <f>IF('E. FIS.'!E19=0," ",'E. FIS.'!E19)</f>
        <v xml:space="preserve"> </v>
      </c>
      <c r="R17" s="200">
        <f>IF('E. FIS.'!F19=0," ",'E. FIS.'!F19)</f>
        <v>24</v>
      </c>
      <c r="S17" s="201">
        <f>IF(MUS.!C19=0," ",MUS.!C19)</f>
        <v>85</v>
      </c>
      <c r="T17" s="181" t="str">
        <f>IF(MUS.!D19=0," ",MUS.!D19)</f>
        <v xml:space="preserve"> </v>
      </c>
      <c r="U17" s="181" t="str">
        <f>IF(MUS.!E19=0," ",MUS.!E19)</f>
        <v xml:space="preserve"> </v>
      </c>
      <c r="V17" s="186">
        <f>IF(MUS.!F19=0," ",MUS.!F19)</f>
        <v>28</v>
      </c>
      <c r="W17" s="199">
        <f>IF('A.PL. '!C19=0," ",'A.PL. '!C19)</f>
        <v>74</v>
      </c>
      <c r="X17" s="181" t="str">
        <f>IF('A.PL. '!D19=0," ",'A.PL. '!D19)</f>
        <v xml:space="preserve"> </v>
      </c>
      <c r="Y17" s="181" t="str">
        <f>IF('A.PL. '!E19=0," ",'A.PL. '!E19)</f>
        <v xml:space="preserve"> </v>
      </c>
      <c r="Z17" s="200">
        <f>IF('A.PL. '!F19=0," ",'A.PL. '!F19)</f>
        <v>25</v>
      </c>
      <c r="AA17" s="199">
        <f>IF(MAT!C19=0," ",MAT!C19)</f>
        <v>73</v>
      </c>
      <c r="AB17" s="181" t="str">
        <f>IF(MAT!D19=0," ",MAT!D19)</f>
        <v xml:space="preserve"> </v>
      </c>
      <c r="AC17" s="181" t="str">
        <f>IF(MAT!E19=0," ",MAT!E19)</f>
        <v xml:space="preserve"> </v>
      </c>
      <c r="AD17" s="186">
        <f>IF(MAT!F19=0," ",MAT!F19)</f>
        <v>24</v>
      </c>
      <c r="AE17" s="202">
        <f>IF('T. TEC. GRAL'!C19=0," ",'T. TEC. GRAL'!C19)</f>
        <v>69</v>
      </c>
      <c r="AF17" s="186" t="str">
        <f>IF('T. TEC. GRAL'!D19=0," ",'T. TEC. GRAL'!D19)</f>
        <v xml:space="preserve"> </v>
      </c>
      <c r="AG17" s="186" t="str">
        <f>IF('T. TEC. GRAL'!E19=0," ",'T. TEC. GRAL'!E19)</f>
        <v xml:space="preserve"> </v>
      </c>
      <c r="AH17" s="200">
        <f>IF('T. TEC. GRAL'!F19=0," ",'T. TEC. GRAL'!F19)</f>
        <v>23</v>
      </c>
      <c r="AI17" s="201">
        <f>IF('BIO-GEO'!C19=0," ",'BIO-GEO'!C19)</f>
        <v>80</v>
      </c>
      <c r="AJ17" s="181" t="str">
        <f>IF('BIO-GEO'!D19=0," ",'BIO-GEO'!D19)</f>
        <v xml:space="preserve"> </v>
      </c>
      <c r="AK17" s="181" t="str">
        <f>IF('BIO-GEO'!E19=0," ",'BIO-GEO'!E19)</f>
        <v xml:space="preserve"> </v>
      </c>
      <c r="AL17" s="186">
        <f>IF('BIO-GEO'!F19=0," ",'BIO-GEO'!F19)</f>
        <v>27</v>
      </c>
      <c r="AM17" s="199">
        <f>IF(PSI!C19=0," ",PSI!C19)</f>
        <v>64</v>
      </c>
      <c r="AN17" s="181" t="str">
        <f>IF(PSI!D19=0," ",PSI!D19)</f>
        <v xml:space="preserve"> </v>
      </c>
      <c r="AO17" s="181" t="str">
        <f>IF(PSI!E19=0," ",PSI!E19)</f>
        <v xml:space="preserve"> </v>
      </c>
      <c r="AP17" s="181">
        <f>IF(PSI!F19=0," ",PSI!F19)</f>
        <v>21</v>
      </c>
      <c r="AQ17" s="199">
        <f>IF('REL.'!C19=0," ",'REL.'!C19)</f>
        <v>65.666666666666671</v>
      </c>
      <c r="AR17" s="48" t="str">
        <f>IF('REL.'!D19=0," ",'REL.'!D19)</f>
        <v xml:space="preserve"> </v>
      </c>
      <c r="AS17" s="48" t="str">
        <f>IF('REL.'!E19=0," ",'REL.'!E19)</f>
        <v xml:space="preserve"> </v>
      </c>
      <c r="AT17" s="95">
        <f>IF('REL.'!F19=0," ",'REL.'!F19)</f>
        <v>22</v>
      </c>
    </row>
    <row r="18" spans="1:46">
      <c r="A18" s="48">
        <f>NOMINA!A20</f>
        <v>15</v>
      </c>
      <c r="B18" s="85" t="str">
        <f>NOMINA!B20</f>
        <v>GONZALES MOLINA ARIANET BELEN</v>
      </c>
      <c r="C18" s="199">
        <f>IF(LEN!C20=0," ",LEN!C20)</f>
        <v>79</v>
      </c>
      <c r="D18" s="181" t="str">
        <f>IF(LEN!D20=0," ",LEN!D20)</f>
        <v xml:space="preserve"> </v>
      </c>
      <c r="E18" s="181" t="str">
        <f>IF(LEN!E20=0," ",LEN!E20)</f>
        <v xml:space="preserve"> </v>
      </c>
      <c r="F18" s="186">
        <f>IF(LEN!F20=0," ",LEN!F20)</f>
        <v>26</v>
      </c>
      <c r="G18" s="199">
        <f>IF(ING!C20=0," ",ING!C20)</f>
        <v>79</v>
      </c>
      <c r="H18" s="181" t="str">
        <f>IF(ING!D20=0," ",ING!D20)</f>
        <v xml:space="preserve"> </v>
      </c>
      <c r="I18" s="181" t="str">
        <f>IF(ING!E20=0," ",ING!E20)</f>
        <v xml:space="preserve"> </v>
      </c>
      <c r="J18" s="200">
        <f>IF(ING!F20=0," ",ING!F20)</f>
        <v>26</v>
      </c>
      <c r="K18" s="201">
        <f>IF('C.SOC'!C20=0," ",'C.SOC'!C20)</f>
        <v>74</v>
      </c>
      <c r="L18" s="181" t="str">
        <f>IF('C.SOC'!D20=0," ",'C.SOC'!D20)</f>
        <v xml:space="preserve"> </v>
      </c>
      <c r="M18" s="181" t="str">
        <f>IF('C.SOC'!E20=0," ",'C.SOC'!E20)</f>
        <v xml:space="preserve"> </v>
      </c>
      <c r="N18" s="186">
        <f>IF('C.SOC'!F20=0," ",'C.SOC'!F20)</f>
        <v>25</v>
      </c>
      <c r="O18" s="199">
        <f>IF('E. FIS.'!C20=0," ",'E. FIS.'!C20)</f>
        <v>85</v>
      </c>
      <c r="P18" s="181" t="str">
        <f>IF('E. FIS.'!D20=0," ",'E. FIS.'!D20)</f>
        <v xml:space="preserve"> </v>
      </c>
      <c r="Q18" s="181" t="str">
        <f>IF('E. FIS.'!E20=0," ",'E. FIS.'!E20)</f>
        <v xml:space="preserve"> </v>
      </c>
      <c r="R18" s="200">
        <f>IF('E. FIS.'!F20=0," ",'E. FIS.'!F20)</f>
        <v>28</v>
      </c>
      <c r="S18" s="201">
        <f>IF(MUS.!C20=0," ",MUS.!C20)</f>
        <v>92</v>
      </c>
      <c r="T18" s="181" t="str">
        <f>IF(MUS.!D20=0," ",MUS.!D20)</f>
        <v xml:space="preserve"> </v>
      </c>
      <c r="U18" s="181" t="str">
        <f>IF(MUS.!E20=0," ",MUS.!E20)</f>
        <v xml:space="preserve"> </v>
      </c>
      <c r="V18" s="186">
        <f>IF(MUS.!F20=0," ",MUS.!F20)</f>
        <v>31</v>
      </c>
      <c r="W18" s="199">
        <f>IF('A.PL. '!C20=0," ",'A.PL. '!C20)</f>
        <v>82</v>
      </c>
      <c r="X18" s="181" t="str">
        <f>IF('A.PL. '!D20=0," ",'A.PL. '!D20)</f>
        <v xml:space="preserve"> </v>
      </c>
      <c r="Y18" s="181" t="str">
        <f>IF('A.PL. '!E20=0," ",'A.PL. '!E20)</f>
        <v xml:space="preserve"> </v>
      </c>
      <c r="Z18" s="200">
        <f>IF('A.PL. '!F20=0," ",'A.PL. '!F20)</f>
        <v>27</v>
      </c>
      <c r="AA18" s="199">
        <f>IF(MAT!C20=0," ",MAT!C20)</f>
        <v>88</v>
      </c>
      <c r="AB18" s="181" t="str">
        <f>IF(MAT!D20=0," ",MAT!D20)</f>
        <v xml:space="preserve"> </v>
      </c>
      <c r="AC18" s="181" t="str">
        <f>IF(MAT!E20=0," ",MAT!E20)</f>
        <v xml:space="preserve"> </v>
      </c>
      <c r="AD18" s="186">
        <f>IF(MAT!F20=0," ",MAT!F20)</f>
        <v>29</v>
      </c>
      <c r="AE18" s="202">
        <f>IF('T. TEC. GRAL'!C20=0," ",'T. TEC. GRAL'!C20)</f>
        <v>86</v>
      </c>
      <c r="AF18" s="186" t="str">
        <f>IF('T. TEC. GRAL'!D20=0," ",'T. TEC. GRAL'!D20)</f>
        <v xml:space="preserve"> </v>
      </c>
      <c r="AG18" s="186" t="str">
        <f>IF('T. TEC. GRAL'!E20=0," ",'T. TEC. GRAL'!E20)</f>
        <v xml:space="preserve"> </v>
      </c>
      <c r="AH18" s="200">
        <f>IF('T. TEC. GRAL'!F20=0," ",'T. TEC. GRAL'!F20)</f>
        <v>29</v>
      </c>
      <c r="AI18" s="201">
        <f>IF('BIO-GEO'!C20=0," ",'BIO-GEO'!C20)</f>
        <v>71</v>
      </c>
      <c r="AJ18" s="181" t="str">
        <f>IF('BIO-GEO'!D20=0," ",'BIO-GEO'!D20)</f>
        <v xml:space="preserve"> </v>
      </c>
      <c r="AK18" s="181" t="str">
        <f>IF('BIO-GEO'!E20=0," ",'BIO-GEO'!E20)</f>
        <v xml:space="preserve"> </v>
      </c>
      <c r="AL18" s="186">
        <f>IF('BIO-GEO'!F20=0," ",'BIO-GEO'!F20)</f>
        <v>24</v>
      </c>
      <c r="AM18" s="199">
        <f>IF(PSI!C20=0," ",PSI!C20)</f>
        <v>85</v>
      </c>
      <c r="AN18" s="181" t="str">
        <f>IF(PSI!D20=0," ",PSI!D20)</f>
        <v xml:space="preserve"> </v>
      </c>
      <c r="AO18" s="181" t="str">
        <f>IF(PSI!E20=0," ",PSI!E20)</f>
        <v xml:space="preserve"> </v>
      </c>
      <c r="AP18" s="181">
        <f>IF(PSI!F20=0," ",PSI!F20)</f>
        <v>28</v>
      </c>
      <c r="AQ18" s="199">
        <f>IF('REL.'!C20=0," ",'REL.'!C20)</f>
        <v>74.583333333333343</v>
      </c>
      <c r="AR18" s="48" t="str">
        <f>IF('REL.'!D20=0," ",'REL.'!D20)</f>
        <v xml:space="preserve"> </v>
      </c>
      <c r="AS18" s="48" t="str">
        <f>IF('REL.'!E20=0," ",'REL.'!E20)</f>
        <v xml:space="preserve"> </v>
      </c>
      <c r="AT18" s="95">
        <f>IF('REL.'!F20=0," ",'REL.'!F20)</f>
        <v>25</v>
      </c>
    </row>
    <row r="19" spans="1:46">
      <c r="A19" s="48">
        <f>NOMINA!A21</f>
        <v>16</v>
      </c>
      <c r="B19" s="85" t="str">
        <f>NOMINA!B21</f>
        <v>GUAQUIPA BECERRA NICOLAS ALEX</v>
      </c>
      <c r="C19" s="199">
        <f>IF(LEN!C21=0," ",LEN!C21)</f>
        <v>79</v>
      </c>
      <c r="D19" s="181" t="str">
        <f>IF(LEN!D21=0," ",LEN!D21)</f>
        <v xml:space="preserve"> </v>
      </c>
      <c r="E19" s="181" t="str">
        <f>IF(LEN!E21=0," ",LEN!E21)</f>
        <v xml:space="preserve"> </v>
      </c>
      <c r="F19" s="186">
        <f>IF(LEN!F21=0," ",LEN!F21)</f>
        <v>26</v>
      </c>
      <c r="G19" s="199">
        <f>IF(ING!C21=0," ",ING!C21)</f>
        <v>83</v>
      </c>
      <c r="H19" s="181" t="str">
        <f>IF(ING!D21=0," ",ING!D21)</f>
        <v xml:space="preserve"> </v>
      </c>
      <c r="I19" s="181" t="str">
        <f>IF(ING!E21=0," ",ING!E21)</f>
        <v xml:space="preserve"> </v>
      </c>
      <c r="J19" s="200">
        <f>IF(ING!F21=0," ",ING!F21)</f>
        <v>28</v>
      </c>
      <c r="K19" s="201">
        <f>IF('C.SOC'!C21=0," ",'C.SOC'!C21)</f>
        <v>66</v>
      </c>
      <c r="L19" s="181" t="str">
        <f>IF('C.SOC'!D21=0," ",'C.SOC'!D21)</f>
        <v xml:space="preserve"> </v>
      </c>
      <c r="M19" s="181" t="str">
        <f>IF('C.SOC'!E21=0," ",'C.SOC'!E21)</f>
        <v xml:space="preserve"> </v>
      </c>
      <c r="N19" s="186">
        <f>IF('C.SOC'!F21=0," ",'C.SOC'!F21)</f>
        <v>22</v>
      </c>
      <c r="O19" s="199">
        <f>IF('E. FIS.'!C21=0," ",'E. FIS.'!C21)</f>
        <v>83</v>
      </c>
      <c r="P19" s="181" t="str">
        <f>IF('E. FIS.'!D21=0," ",'E. FIS.'!D21)</f>
        <v xml:space="preserve"> </v>
      </c>
      <c r="Q19" s="181" t="str">
        <f>IF('E. FIS.'!E21=0," ",'E. FIS.'!E21)</f>
        <v xml:space="preserve"> </v>
      </c>
      <c r="R19" s="200">
        <f>IF('E. FIS.'!F21=0," ",'E. FIS.'!F21)</f>
        <v>28</v>
      </c>
      <c r="S19" s="201">
        <f>IF(MUS.!C21=0," ",MUS.!C21)</f>
        <v>89</v>
      </c>
      <c r="T19" s="181" t="str">
        <f>IF(MUS.!D21=0," ",MUS.!D21)</f>
        <v xml:space="preserve"> </v>
      </c>
      <c r="U19" s="181" t="str">
        <f>IF(MUS.!E21=0," ",MUS.!E21)</f>
        <v xml:space="preserve"> </v>
      </c>
      <c r="V19" s="186">
        <f>IF(MUS.!F21=0," ",MUS.!F21)</f>
        <v>30</v>
      </c>
      <c r="W19" s="199">
        <f>IF('A.PL. '!C21=0," ",'A.PL. '!C21)</f>
        <v>70</v>
      </c>
      <c r="X19" s="181" t="str">
        <f>IF('A.PL. '!D21=0," ",'A.PL. '!D21)</f>
        <v xml:space="preserve"> </v>
      </c>
      <c r="Y19" s="181" t="str">
        <f>IF('A.PL. '!E21=0," ",'A.PL. '!E21)</f>
        <v xml:space="preserve"> </v>
      </c>
      <c r="Z19" s="200">
        <f>IF('A.PL. '!F21=0," ",'A.PL. '!F21)</f>
        <v>23</v>
      </c>
      <c r="AA19" s="199">
        <f>IF(MAT!C21=0," ",MAT!C21)</f>
        <v>83</v>
      </c>
      <c r="AB19" s="181" t="str">
        <f>IF(MAT!D21=0," ",MAT!D21)</f>
        <v xml:space="preserve"> </v>
      </c>
      <c r="AC19" s="181" t="str">
        <f>IF(MAT!E21=0," ",MAT!E21)</f>
        <v xml:space="preserve"> </v>
      </c>
      <c r="AD19" s="186">
        <f>IF(MAT!F21=0," ",MAT!F21)</f>
        <v>28</v>
      </c>
      <c r="AE19" s="202">
        <f>IF('T. TEC. GRAL'!C21=0," ",'T. TEC. GRAL'!C21)</f>
        <v>71</v>
      </c>
      <c r="AF19" s="186" t="str">
        <f>IF('T. TEC. GRAL'!D21=0," ",'T. TEC. GRAL'!D21)</f>
        <v xml:space="preserve"> </v>
      </c>
      <c r="AG19" s="186" t="str">
        <f>IF('T. TEC. GRAL'!E21=0," ",'T. TEC. GRAL'!E21)</f>
        <v xml:space="preserve"> </v>
      </c>
      <c r="AH19" s="200">
        <f>IF('T. TEC. GRAL'!F21=0," ",'T. TEC. GRAL'!F21)</f>
        <v>24</v>
      </c>
      <c r="AI19" s="201">
        <f>IF('BIO-GEO'!C21=0," ",'BIO-GEO'!C21)</f>
        <v>85</v>
      </c>
      <c r="AJ19" s="181" t="str">
        <f>IF('BIO-GEO'!D21=0," ",'BIO-GEO'!D21)</f>
        <v xml:space="preserve"> </v>
      </c>
      <c r="AK19" s="181" t="str">
        <f>IF('BIO-GEO'!E21=0," ",'BIO-GEO'!E21)</f>
        <v xml:space="preserve"> </v>
      </c>
      <c r="AL19" s="186">
        <f>IF('BIO-GEO'!F21=0," ",'BIO-GEO'!F21)</f>
        <v>28</v>
      </c>
      <c r="AM19" s="199">
        <f>IF(PSI!C21=0," ",PSI!C21)</f>
        <v>82</v>
      </c>
      <c r="AN19" s="181" t="str">
        <f>IF(PSI!D21=0," ",PSI!D21)</f>
        <v xml:space="preserve"> </v>
      </c>
      <c r="AO19" s="181" t="str">
        <f>IF(PSI!E21=0," ",PSI!E21)</f>
        <v xml:space="preserve"> </v>
      </c>
      <c r="AP19" s="181">
        <f>IF(PSI!F21=0," ",PSI!F21)</f>
        <v>27</v>
      </c>
      <c r="AQ19" s="199">
        <f>IF('REL.'!C21=0," ",'REL.'!C21)</f>
        <v>79.666666666666657</v>
      </c>
      <c r="AR19" s="48" t="str">
        <f>IF('REL.'!D21=0," ",'REL.'!D21)</f>
        <v xml:space="preserve"> </v>
      </c>
      <c r="AS19" s="48" t="str">
        <f>IF('REL.'!E21=0," ",'REL.'!E21)</f>
        <v xml:space="preserve"> </v>
      </c>
      <c r="AT19" s="95">
        <f>IF('REL.'!F21=0," ",'REL.'!F21)</f>
        <v>27</v>
      </c>
    </row>
    <row r="20" spans="1:46">
      <c r="A20" s="48">
        <f>NOMINA!A22</f>
        <v>17</v>
      </c>
      <c r="B20" s="85" t="str">
        <f>NOMINA!B22</f>
        <v>HUANQUIRI MAMANI JHOSMAR</v>
      </c>
      <c r="C20" s="199">
        <f>IF(LEN!C22=0," ",LEN!C22)</f>
        <v>43</v>
      </c>
      <c r="D20" s="181" t="str">
        <f>IF(LEN!D22=0," ",LEN!D22)</f>
        <v xml:space="preserve"> </v>
      </c>
      <c r="E20" s="181" t="str">
        <f>IF(LEN!E22=0," ",LEN!E22)</f>
        <v xml:space="preserve"> </v>
      </c>
      <c r="F20" s="186">
        <f>IF(LEN!F22=0," ",LEN!F22)</f>
        <v>14</v>
      </c>
      <c r="G20" s="199">
        <f>IF(ING!C22=0," ",ING!C22)</f>
        <v>41</v>
      </c>
      <c r="H20" s="181" t="str">
        <f>IF(ING!D22=0," ",ING!D22)</f>
        <v xml:space="preserve"> </v>
      </c>
      <c r="I20" s="181" t="str">
        <f>IF(ING!E22=0," ",ING!E22)</f>
        <v xml:space="preserve"> </v>
      </c>
      <c r="J20" s="200">
        <f>IF(ING!F22=0," ",ING!F22)</f>
        <v>14</v>
      </c>
      <c r="K20" s="201">
        <f>IF('C.SOC'!C22=0," ",'C.SOC'!C22)</f>
        <v>35</v>
      </c>
      <c r="L20" s="181" t="str">
        <f>IF('C.SOC'!D22=0," ",'C.SOC'!D22)</f>
        <v xml:space="preserve"> </v>
      </c>
      <c r="M20" s="181" t="str">
        <f>IF('C.SOC'!E22=0," ",'C.SOC'!E22)</f>
        <v xml:space="preserve"> </v>
      </c>
      <c r="N20" s="186">
        <f>IF('C.SOC'!F22=0," ",'C.SOC'!F22)</f>
        <v>12</v>
      </c>
      <c r="O20" s="199">
        <f>IF('E. FIS.'!C22=0," ",'E. FIS.'!C22)</f>
        <v>70</v>
      </c>
      <c r="P20" s="181" t="str">
        <f>IF('E. FIS.'!D22=0," ",'E. FIS.'!D22)</f>
        <v xml:space="preserve"> </v>
      </c>
      <c r="Q20" s="181" t="str">
        <f>IF('E. FIS.'!E22=0," ",'E. FIS.'!E22)</f>
        <v xml:space="preserve"> </v>
      </c>
      <c r="R20" s="200">
        <f>IF('E. FIS.'!F22=0," ",'E. FIS.'!F22)</f>
        <v>23</v>
      </c>
      <c r="S20" s="201">
        <f>IF(MUS.!C22=0," ",MUS.!C22)</f>
        <v>54</v>
      </c>
      <c r="T20" s="181" t="str">
        <f>IF(MUS.!D22=0," ",MUS.!D22)</f>
        <v xml:space="preserve"> </v>
      </c>
      <c r="U20" s="181" t="str">
        <f>IF(MUS.!E22=0," ",MUS.!E22)</f>
        <v xml:space="preserve"> </v>
      </c>
      <c r="V20" s="186">
        <f>IF(MUS.!F22=0," ",MUS.!F22)</f>
        <v>18</v>
      </c>
      <c r="W20" s="199">
        <f>IF('A.PL. '!C22=0," ",'A.PL. '!C22)</f>
        <v>55</v>
      </c>
      <c r="X20" s="181" t="str">
        <f>IF('A.PL. '!D22=0," ",'A.PL. '!D22)</f>
        <v xml:space="preserve"> </v>
      </c>
      <c r="Y20" s="181" t="str">
        <f>IF('A.PL. '!E22=0," ",'A.PL. '!E22)</f>
        <v xml:space="preserve"> </v>
      </c>
      <c r="Z20" s="200">
        <f>IF('A.PL. '!F22=0," ",'A.PL. '!F22)</f>
        <v>18</v>
      </c>
      <c r="AA20" s="199">
        <f>IF(MAT!C22=0," ",MAT!C22)</f>
        <v>52</v>
      </c>
      <c r="AB20" s="181" t="str">
        <f>IF(MAT!D22=0," ",MAT!D22)</f>
        <v xml:space="preserve"> </v>
      </c>
      <c r="AC20" s="181" t="str">
        <f>IF(MAT!E22=0," ",MAT!E22)</f>
        <v xml:space="preserve"> </v>
      </c>
      <c r="AD20" s="186">
        <f>IF(MAT!F22=0," ",MAT!F22)</f>
        <v>17</v>
      </c>
      <c r="AE20" s="202">
        <f>IF('T. TEC. GRAL'!C22=0," ",'T. TEC. GRAL'!C22)</f>
        <v>47</v>
      </c>
      <c r="AF20" s="186" t="str">
        <f>IF('T. TEC. GRAL'!D22=0," ",'T. TEC. GRAL'!D22)</f>
        <v xml:space="preserve"> </v>
      </c>
      <c r="AG20" s="186" t="str">
        <f>IF('T. TEC. GRAL'!E22=0," ",'T. TEC. GRAL'!E22)</f>
        <v xml:space="preserve"> </v>
      </c>
      <c r="AH20" s="200">
        <f>IF('T. TEC. GRAL'!F22=0," ",'T. TEC. GRAL'!F22)</f>
        <v>16</v>
      </c>
      <c r="AI20" s="201">
        <f>IF('BIO-GEO'!C22=0," ",'BIO-GEO'!C22)</f>
        <v>35</v>
      </c>
      <c r="AJ20" s="181" t="str">
        <f>IF('BIO-GEO'!D22=0," ",'BIO-GEO'!D22)</f>
        <v xml:space="preserve"> </v>
      </c>
      <c r="AK20" s="181" t="str">
        <f>IF('BIO-GEO'!E22=0," ",'BIO-GEO'!E22)</f>
        <v xml:space="preserve"> </v>
      </c>
      <c r="AL20" s="186">
        <f>IF('BIO-GEO'!F22=0," ",'BIO-GEO'!F22)</f>
        <v>12</v>
      </c>
      <c r="AM20" s="199">
        <f>IF(PSI!C22=0," ",PSI!C22)</f>
        <v>49</v>
      </c>
      <c r="AN20" s="181" t="str">
        <f>IF(PSI!D22=0," ",PSI!D22)</f>
        <v xml:space="preserve"> </v>
      </c>
      <c r="AO20" s="181" t="str">
        <f>IF(PSI!E22=0," ",PSI!E22)</f>
        <v xml:space="preserve"> </v>
      </c>
      <c r="AP20" s="181">
        <f>IF(PSI!F22=0," ",PSI!F22)</f>
        <v>16</v>
      </c>
      <c r="AQ20" s="199">
        <f>IF('REL.'!C22=0," ",'REL.'!C22)</f>
        <v>68.416666666666671</v>
      </c>
      <c r="AR20" s="48" t="str">
        <f>IF('REL.'!D22=0," ",'REL.'!D22)</f>
        <v xml:space="preserve"> </v>
      </c>
      <c r="AS20" s="48" t="str">
        <f>IF('REL.'!E22=0," ",'REL.'!E22)</f>
        <v xml:space="preserve"> </v>
      </c>
      <c r="AT20" s="95">
        <f>IF('REL.'!F22=0," ",'REL.'!F22)</f>
        <v>23</v>
      </c>
    </row>
    <row r="21" spans="1:46">
      <c r="A21" s="48">
        <f>NOMINA!A23</f>
        <v>18</v>
      </c>
      <c r="B21" s="85" t="str">
        <f>NOMINA!B23</f>
        <v>JOVE ARNEZ ANDREA LUCIANA</v>
      </c>
      <c r="C21" s="199">
        <f>IF(LEN!C23=0," ",LEN!C23)</f>
        <v>52</v>
      </c>
      <c r="D21" s="181" t="str">
        <f>IF(LEN!D23=0," ",LEN!D23)</f>
        <v xml:space="preserve"> </v>
      </c>
      <c r="E21" s="181" t="str">
        <f>IF(LEN!E23=0," ",LEN!E23)</f>
        <v xml:space="preserve"> </v>
      </c>
      <c r="F21" s="186">
        <f>IF(LEN!F23=0," ",LEN!F23)</f>
        <v>17</v>
      </c>
      <c r="G21" s="199">
        <f>IF(ING!C23=0," ",ING!C23)</f>
        <v>41</v>
      </c>
      <c r="H21" s="181" t="str">
        <f>IF(ING!D23=0," ",ING!D23)</f>
        <v xml:space="preserve"> </v>
      </c>
      <c r="I21" s="181" t="str">
        <f>IF(ING!E23=0," ",ING!E23)</f>
        <v xml:space="preserve"> </v>
      </c>
      <c r="J21" s="200">
        <f>IF(ING!F23=0," ",ING!F23)</f>
        <v>14</v>
      </c>
      <c r="K21" s="201">
        <f>IF('C.SOC'!C23=0," ",'C.SOC'!C23)</f>
        <v>68</v>
      </c>
      <c r="L21" s="181" t="str">
        <f>IF('C.SOC'!D23=0," ",'C.SOC'!D23)</f>
        <v xml:space="preserve"> </v>
      </c>
      <c r="M21" s="181" t="str">
        <f>IF('C.SOC'!E23=0," ",'C.SOC'!E23)</f>
        <v xml:space="preserve"> </v>
      </c>
      <c r="N21" s="186">
        <f>IF('C.SOC'!F23=0," ",'C.SOC'!F23)</f>
        <v>23</v>
      </c>
      <c r="O21" s="199">
        <f>IF('E. FIS.'!C23=0," ",'E. FIS.'!C23)</f>
        <v>38</v>
      </c>
      <c r="P21" s="181" t="str">
        <f>IF('E. FIS.'!D23=0," ",'E. FIS.'!D23)</f>
        <v xml:space="preserve"> </v>
      </c>
      <c r="Q21" s="181" t="str">
        <f>IF('E. FIS.'!E23=0," ",'E. FIS.'!E23)</f>
        <v xml:space="preserve"> </v>
      </c>
      <c r="R21" s="200">
        <f>IF('E. FIS.'!F23=0," ",'E. FIS.'!F23)</f>
        <v>13</v>
      </c>
      <c r="S21" s="201">
        <f>IF(MUS.!C23=0," ",MUS.!C23)</f>
        <v>40</v>
      </c>
      <c r="T21" s="181" t="str">
        <f>IF(MUS.!D23=0," ",MUS.!D23)</f>
        <v xml:space="preserve"> </v>
      </c>
      <c r="U21" s="181" t="str">
        <f>IF(MUS.!E23=0," ",MUS.!E23)</f>
        <v xml:space="preserve"> </v>
      </c>
      <c r="V21" s="186">
        <f>IF(MUS.!F23=0," ",MUS.!F23)</f>
        <v>13</v>
      </c>
      <c r="W21" s="199">
        <f>IF('A.PL. '!C23=0," ",'A.PL. '!C23)</f>
        <v>56</v>
      </c>
      <c r="X21" s="181" t="str">
        <f>IF('A.PL. '!D23=0," ",'A.PL. '!D23)</f>
        <v xml:space="preserve"> </v>
      </c>
      <c r="Y21" s="181" t="str">
        <f>IF('A.PL. '!E23=0," ",'A.PL. '!E23)</f>
        <v xml:space="preserve"> </v>
      </c>
      <c r="Z21" s="200">
        <f>IF('A.PL. '!F23=0," ",'A.PL. '!F23)</f>
        <v>19</v>
      </c>
      <c r="AA21" s="199">
        <f>IF(MAT!C23=0," ",MAT!C23)</f>
        <v>59</v>
      </c>
      <c r="AB21" s="181" t="str">
        <f>IF(MAT!D23=0," ",MAT!D23)</f>
        <v xml:space="preserve"> </v>
      </c>
      <c r="AC21" s="181" t="str">
        <f>IF(MAT!E23=0," ",MAT!E23)</f>
        <v xml:space="preserve"> </v>
      </c>
      <c r="AD21" s="186">
        <f>IF(MAT!F23=0," ",MAT!F23)</f>
        <v>20</v>
      </c>
      <c r="AE21" s="202">
        <f>IF('T. TEC. GRAL'!C23=0," ",'T. TEC. GRAL'!C23)</f>
        <v>66</v>
      </c>
      <c r="AF21" s="186" t="str">
        <f>IF('T. TEC. GRAL'!D23=0," ",'T. TEC. GRAL'!D23)</f>
        <v xml:space="preserve"> </v>
      </c>
      <c r="AG21" s="186" t="str">
        <f>IF('T. TEC. GRAL'!E23=0," ",'T. TEC. GRAL'!E23)</f>
        <v xml:space="preserve"> </v>
      </c>
      <c r="AH21" s="200">
        <f>IF('T. TEC. GRAL'!F23=0," ",'T. TEC. GRAL'!F23)</f>
        <v>22</v>
      </c>
      <c r="AI21" s="201">
        <f>IF('BIO-GEO'!C23=0," ",'BIO-GEO'!C23)</f>
        <v>51</v>
      </c>
      <c r="AJ21" s="181" t="str">
        <f>IF('BIO-GEO'!D23=0," ",'BIO-GEO'!D23)</f>
        <v xml:space="preserve"> </v>
      </c>
      <c r="AK21" s="181" t="str">
        <f>IF('BIO-GEO'!E23=0," ",'BIO-GEO'!E23)</f>
        <v xml:space="preserve"> </v>
      </c>
      <c r="AL21" s="186">
        <f>IF('BIO-GEO'!F23=0," ",'BIO-GEO'!F23)</f>
        <v>17</v>
      </c>
      <c r="AM21" s="199">
        <f>IF(PSI!C23=0," ",PSI!C23)</f>
        <v>80</v>
      </c>
      <c r="AN21" s="181" t="str">
        <f>IF(PSI!D23=0," ",PSI!D23)</f>
        <v xml:space="preserve"> </v>
      </c>
      <c r="AO21" s="181" t="str">
        <f>IF(PSI!E23=0," ",PSI!E23)</f>
        <v xml:space="preserve"> </v>
      </c>
      <c r="AP21" s="181">
        <f>IF(PSI!F23=0," ",PSI!F23)</f>
        <v>27</v>
      </c>
      <c r="AQ21" s="199">
        <f>IF('REL.'!C23=0," ",'REL.'!C23)</f>
        <v>54.166666666666671</v>
      </c>
      <c r="AR21" s="48" t="str">
        <f>IF('REL.'!D23=0," ",'REL.'!D23)</f>
        <v xml:space="preserve"> </v>
      </c>
      <c r="AS21" s="48" t="str">
        <f>IF('REL.'!E23=0," ",'REL.'!E23)</f>
        <v xml:space="preserve"> </v>
      </c>
      <c r="AT21" s="95">
        <f>IF('REL.'!F23=0," ",'REL.'!F23)</f>
        <v>18</v>
      </c>
    </row>
    <row r="22" spans="1:46">
      <c r="A22" s="48">
        <f>NOMINA!A24</f>
        <v>19</v>
      </c>
      <c r="B22" s="85" t="str">
        <f>NOMINA!B24</f>
        <v>LAFUENTE ORTUÑO VICTORIA VALENTINA</v>
      </c>
      <c r="C22" s="199">
        <f>IF(LEN!C24=0," ",LEN!C24)</f>
        <v>41</v>
      </c>
      <c r="D22" s="181" t="str">
        <f>IF(LEN!D24=0," ",LEN!D24)</f>
        <v xml:space="preserve"> </v>
      </c>
      <c r="E22" s="181" t="str">
        <f>IF(LEN!E24=0," ",LEN!E24)</f>
        <v xml:space="preserve"> </v>
      </c>
      <c r="F22" s="186">
        <f>IF(LEN!F24=0," ",LEN!F24)</f>
        <v>14</v>
      </c>
      <c r="G22" s="199">
        <f>IF(ING!C24=0," ",ING!C24)</f>
        <v>52</v>
      </c>
      <c r="H22" s="181" t="str">
        <f>IF(ING!D24=0," ",ING!D24)</f>
        <v xml:space="preserve"> </v>
      </c>
      <c r="I22" s="181" t="str">
        <f>IF(ING!E24=0," ",ING!E24)</f>
        <v xml:space="preserve"> </v>
      </c>
      <c r="J22" s="200">
        <f>IF(ING!F24=0," ",ING!F24)</f>
        <v>17</v>
      </c>
      <c r="K22" s="201">
        <f>IF('C.SOC'!C24=0," ",'C.SOC'!C24)</f>
        <v>35</v>
      </c>
      <c r="L22" s="181" t="str">
        <f>IF('C.SOC'!D24=0," ",'C.SOC'!D24)</f>
        <v xml:space="preserve"> </v>
      </c>
      <c r="M22" s="181" t="str">
        <f>IF('C.SOC'!E24=0," ",'C.SOC'!E24)</f>
        <v xml:space="preserve"> </v>
      </c>
      <c r="N22" s="186">
        <f>IF('C.SOC'!F24=0," ",'C.SOC'!F24)</f>
        <v>12</v>
      </c>
      <c r="O22" s="199">
        <f>IF('E. FIS.'!C24=0," ",'E. FIS.'!C24)</f>
        <v>65</v>
      </c>
      <c r="P22" s="181" t="str">
        <f>IF('E. FIS.'!D24=0," ",'E. FIS.'!D24)</f>
        <v xml:space="preserve"> </v>
      </c>
      <c r="Q22" s="181" t="str">
        <f>IF('E. FIS.'!E24=0," ",'E. FIS.'!E24)</f>
        <v xml:space="preserve"> </v>
      </c>
      <c r="R22" s="200">
        <f>IF('E. FIS.'!F24=0," ",'E. FIS.'!F24)</f>
        <v>22</v>
      </c>
      <c r="S22" s="201">
        <f>IF(MUS.!C24=0," ",MUS.!C24)</f>
        <v>45</v>
      </c>
      <c r="T22" s="181" t="str">
        <f>IF(MUS.!D24=0," ",MUS.!D24)</f>
        <v xml:space="preserve"> </v>
      </c>
      <c r="U22" s="181" t="str">
        <f>IF(MUS.!E24=0," ",MUS.!E24)</f>
        <v xml:space="preserve"> </v>
      </c>
      <c r="V22" s="186">
        <f>IF(MUS.!F24=0," ",MUS.!F24)</f>
        <v>15</v>
      </c>
      <c r="W22" s="199">
        <f>IF('A.PL. '!C24=0," ",'A.PL. '!C24)</f>
        <v>51</v>
      </c>
      <c r="X22" s="181" t="str">
        <f>IF('A.PL. '!D24=0," ",'A.PL. '!D24)</f>
        <v xml:space="preserve"> </v>
      </c>
      <c r="Y22" s="181" t="str">
        <f>IF('A.PL. '!E24=0," ",'A.PL. '!E24)</f>
        <v xml:space="preserve"> </v>
      </c>
      <c r="Z22" s="200">
        <f>IF('A.PL. '!F24=0," ",'A.PL. '!F24)</f>
        <v>17</v>
      </c>
      <c r="AA22" s="199">
        <f>IF(MAT!C24=0," ",MAT!C24)</f>
        <v>46</v>
      </c>
      <c r="AB22" s="181" t="str">
        <f>IF(MAT!D24=0," ",MAT!D24)</f>
        <v xml:space="preserve"> </v>
      </c>
      <c r="AC22" s="181" t="str">
        <f>IF(MAT!E24=0," ",MAT!E24)</f>
        <v xml:space="preserve"> </v>
      </c>
      <c r="AD22" s="186">
        <f>IF(MAT!F24=0," ",MAT!F24)</f>
        <v>15</v>
      </c>
      <c r="AE22" s="202">
        <f>IF('T. TEC. GRAL'!C24=0," ",'T. TEC. GRAL'!C24)</f>
        <v>56</v>
      </c>
      <c r="AF22" s="186" t="str">
        <f>IF('T. TEC. GRAL'!D24=0," ",'T. TEC. GRAL'!D24)</f>
        <v xml:space="preserve"> </v>
      </c>
      <c r="AG22" s="186" t="str">
        <f>IF('T. TEC. GRAL'!E24=0," ",'T. TEC. GRAL'!E24)</f>
        <v xml:space="preserve"> </v>
      </c>
      <c r="AH22" s="200">
        <f>IF('T. TEC. GRAL'!F24=0," ",'T. TEC. GRAL'!F24)</f>
        <v>19</v>
      </c>
      <c r="AI22" s="201">
        <f>IF('BIO-GEO'!C24=0," ",'BIO-GEO'!C24)</f>
        <v>51</v>
      </c>
      <c r="AJ22" s="181" t="str">
        <f>IF('BIO-GEO'!D24=0," ",'BIO-GEO'!D24)</f>
        <v xml:space="preserve"> </v>
      </c>
      <c r="AK22" s="181" t="str">
        <f>IF('BIO-GEO'!E24=0," ",'BIO-GEO'!E24)</f>
        <v xml:space="preserve"> </v>
      </c>
      <c r="AL22" s="186">
        <f>IF('BIO-GEO'!F24=0," ",'BIO-GEO'!F24)</f>
        <v>17</v>
      </c>
      <c r="AM22" s="199">
        <f>IF(PSI!C24=0," ",PSI!C24)</f>
        <v>54</v>
      </c>
      <c r="AN22" s="181" t="str">
        <f>IF(PSI!D24=0," ",PSI!D24)</f>
        <v xml:space="preserve"> </v>
      </c>
      <c r="AO22" s="181" t="str">
        <f>IF(PSI!E24=0," ",PSI!E24)</f>
        <v xml:space="preserve"> </v>
      </c>
      <c r="AP22" s="181">
        <f>IF(PSI!F24=0," ",PSI!F24)</f>
        <v>18</v>
      </c>
      <c r="AQ22" s="199">
        <f>IF('REL.'!C24=0," ",'REL.'!C24)</f>
        <v>58</v>
      </c>
      <c r="AR22" s="48" t="str">
        <f>IF('REL.'!D24=0," ",'REL.'!D24)</f>
        <v xml:space="preserve"> </v>
      </c>
      <c r="AS22" s="48" t="str">
        <f>IF('REL.'!E24=0," ",'REL.'!E24)</f>
        <v xml:space="preserve"> </v>
      </c>
      <c r="AT22" s="95">
        <f>IF('REL.'!F24=0," ",'REL.'!F24)</f>
        <v>19</v>
      </c>
    </row>
    <row r="23" spans="1:46">
      <c r="A23" s="48">
        <f>NOMINA!A25</f>
        <v>20</v>
      </c>
      <c r="B23" s="85" t="str">
        <f>NOMINA!B25</f>
        <v>MAGNANI CANAVIRI JOSUE JHONATHAN</v>
      </c>
      <c r="C23" s="199">
        <f>IF(LEN!C25=0," ",LEN!C25)</f>
        <v>60</v>
      </c>
      <c r="D23" s="181" t="str">
        <f>IF(LEN!D25=0," ",LEN!D25)</f>
        <v xml:space="preserve"> </v>
      </c>
      <c r="E23" s="181" t="str">
        <f>IF(LEN!E25=0," ",LEN!E25)</f>
        <v xml:space="preserve"> </v>
      </c>
      <c r="F23" s="186">
        <f>IF(LEN!F25=0," ",LEN!F25)</f>
        <v>20</v>
      </c>
      <c r="G23" s="199">
        <f>IF(ING!C25=0," ",ING!C25)</f>
        <v>52</v>
      </c>
      <c r="H23" s="181" t="str">
        <f>IF(ING!D25=0," ",ING!D25)</f>
        <v xml:space="preserve"> </v>
      </c>
      <c r="I23" s="181" t="str">
        <f>IF(ING!E25=0," ",ING!E25)</f>
        <v xml:space="preserve"> </v>
      </c>
      <c r="J23" s="200">
        <f>IF(ING!F25=0," ",ING!F25)</f>
        <v>17</v>
      </c>
      <c r="K23" s="201">
        <f>IF('C.SOC'!C25=0," ",'C.SOC'!C25)</f>
        <v>40</v>
      </c>
      <c r="L23" s="181" t="str">
        <f>IF('C.SOC'!D25=0," ",'C.SOC'!D25)</f>
        <v xml:space="preserve"> </v>
      </c>
      <c r="M23" s="181" t="str">
        <f>IF('C.SOC'!E25=0," ",'C.SOC'!E25)</f>
        <v xml:space="preserve"> </v>
      </c>
      <c r="N23" s="186">
        <f>IF('C.SOC'!F25=0," ",'C.SOC'!F25)</f>
        <v>13</v>
      </c>
      <c r="O23" s="199">
        <f>IF('E. FIS.'!C25=0," ",'E. FIS.'!C25)</f>
        <v>77</v>
      </c>
      <c r="P23" s="181" t="str">
        <f>IF('E. FIS.'!D25=0," ",'E. FIS.'!D25)</f>
        <v xml:space="preserve"> </v>
      </c>
      <c r="Q23" s="181" t="str">
        <f>IF('E. FIS.'!E25=0," ",'E. FIS.'!E25)</f>
        <v xml:space="preserve"> </v>
      </c>
      <c r="R23" s="200">
        <f>IF('E. FIS.'!F25=0," ",'E. FIS.'!F25)</f>
        <v>26</v>
      </c>
      <c r="S23" s="201">
        <f>IF(MUS.!C25=0," ",MUS.!C25)</f>
        <v>78</v>
      </c>
      <c r="T23" s="181" t="str">
        <f>IF(MUS.!D25=0," ",MUS.!D25)</f>
        <v xml:space="preserve"> </v>
      </c>
      <c r="U23" s="181" t="str">
        <f>IF(MUS.!E25=0," ",MUS.!E25)</f>
        <v xml:space="preserve"> </v>
      </c>
      <c r="V23" s="186">
        <f>IF(MUS.!F25=0," ",MUS.!F25)</f>
        <v>26</v>
      </c>
      <c r="W23" s="199">
        <f>IF('A.PL. '!C25=0," ",'A.PL. '!C25)</f>
        <v>73</v>
      </c>
      <c r="X23" s="181" t="str">
        <f>IF('A.PL. '!D25=0," ",'A.PL. '!D25)</f>
        <v xml:space="preserve"> </v>
      </c>
      <c r="Y23" s="181" t="str">
        <f>IF('A.PL. '!E25=0," ",'A.PL. '!E25)</f>
        <v xml:space="preserve"> </v>
      </c>
      <c r="Z23" s="200">
        <f>IF('A.PL. '!F25=0," ",'A.PL. '!F25)</f>
        <v>24</v>
      </c>
      <c r="AA23" s="199">
        <f>IF(MAT!C25=0," ",MAT!C25)</f>
        <v>59</v>
      </c>
      <c r="AB23" s="181" t="str">
        <f>IF(MAT!D25=0," ",MAT!D25)</f>
        <v xml:space="preserve"> </v>
      </c>
      <c r="AC23" s="181" t="str">
        <f>IF(MAT!E25=0," ",MAT!E25)</f>
        <v xml:space="preserve"> </v>
      </c>
      <c r="AD23" s="186">
        <f>IF(MAT!F25=0," ",MAT!F25)</f>
        <v>20</v>
      </c>
      <c r="AE23" s="202">
        <f>IF('T. TEC. GRAL'!C25=0," ",'T. TEC. GRAL'!C25)</f>
        <v>60</v>
      </c>
      <c r="AF23" s="186" t="str">
        <f>IF('T. TEC. GRAL'!D25=0," ",'T. TEC. GRAL'!D25)</f>
        <v xml:space="preserve"> </v>
      </c>
      <c r="AG23" s="186" t="str">
        <f>IF('T. TEC. GRAL'!E25=0," ",'T. TEC. GRAL'!E25)</f>
        <v xml:space="preserve"> </v>
      </c>
      <c r="AH23" s="200">
        <f>IF('T. TEC. GRAL'!F25=0," ",'T. TEC. GRAL'!F25)</f>
        <v>20</v>
      </c>
      <c r="AI23" s="201">
        <f>IF('BIO-GEO'!C25=0," ",'BIO-GEO'!C25)</f>
        <v>69</v>
      </c>
      <c r="AJ23" s="181" t="str">
        <f>IF('BIO-GEO'!D25=0," ",'BIO-GEO'!D25)</f>
        <v xml:space="preserve"> </v>
      </c>
      <c r="AK23" s="181" t="str">
        <f>IF('BIO-GEO'!E25=0," ",'BIO-GEO'!E25)</f>
        <v xml:space="preserve"> </v>
      </c>
      <c r="AL23" s="186">
        <f>IF('BIO-GEO'!F25=0," ",'BIO-GEO'!F25)</f>
        <v>23</v>
      </c>
      <c r="AM23" s="199">
        <f>IF(PSI!C25=0," ",PSI!C25)</f>
        <v>59</v>
      </c>
      <c r="AN23" s="181" t="str">
        <f>IF(PSI!D25=0," ",PSI!D25)</f>
        <v xml:space="preserve"> </v>
      </c>
      <c r="AO23" s="181" t="str">
        <f>IF(PSI!E25=0," ",PSI!E25)</f>
        <v xml:space="preserve"> </v>
      </c>
      <c r="AP23" s="181">
        <f>IF(PSI!F25=0," ",PSI!F25)</f>
        <v>20</v>
      </c>
      <c r="AQ23" s="199">
        <f>IF('REL.'!C25=0," ",'REL.'!C25)</f>
        <v>66.75</v>
      </c>
      <c r="AR23" s="48" t="str">
        <f>IF('REL.'!D25=0," ",'REL.'!D25)</f>
        <v xml:space="preserve"> </v>
      </c>
      <c r="AS23" s="48" t="str">
        <f>IF('REL.'!E25=0," ",'REL.'!E25)</f>
        <v xml:space="preserve"> </v>
      </c>
      <c r="AT23" s="95">
        <f>IF('REL.'!F25=0," ",'REL.'!F25)</f>
        <v>22</v>
      </c>
    </row>
    <row r="24" spans="1:46">
      <c r="A24" s="48">
        <f>NOMINA!A26</f>
        <v>21</v>
      </c>
      <c r="B24" s="85" t="str">
        <f>NOMINA!B26</f>
        <v>MERUVIA GUTIERREZ ASHLY SCARLETT</v>
      </c>
      <c r="C24" s="199">
        <f>IF(LEN!C26=0," ",LEN!C26)</f>
        <v>96</v>
      </c>
      <c r="D24" s="181" t="str">
        <f>IF(LEN!D26=0," ",LEN!D26)</f>
        <v xml:space="preserve"> </v>
      </c>
      <c r="E24" s="181" t="str">
        <f>IF(LEN!E26=0," ",LEN!E26)</f>
        <v xml:space="preserve"> </v>
      </c>
      <c r="F24" s="186">
        <f>IF(LEN!F26=0," ",LEN!F26)</f>
        <v>32</v>
      </c>
      <c r="G24" s="199">
        <f>IF(ING!C26=0," ",ING!C26)</f>
        <v>92</v>
      </c>
      <c r="H24" s="181" t="str">
        <f>IF(ING!D26=0," ",ING!D26)</f>
        <v xml:space="preserve"> </v>
      </c>
      <c r="I24" s="181" t="str">
        <f>IF(ING!E26=0," ",ING!E26)</f>
        <v xml:space="preserve"> </v>
      </c>
      <c r="J24" s="200">
        <f>IF(ING!F26=0," ",ING!F26)</f>
        <v>31</v>
      </c>
      <c r="K24" s="201">
        <f>IF('C.SOC'!C26=0," ",'C.SOC'!C26)</f>
        <v>92</v>
      </c>
      <c r="L24" s="181" t="str">
        <f>IF('C.SOC'!D26=0," ",'C.SOC'!D26)</f>
        <v xml:space="preserve"> </v>
      </c>
      <c r="M24" s="181" t="str">
        <f>IF('C.SOC'!E26=0," ",'C.SOC'!E26)</f>
        <v xml:space="preserve"> </v>
      </c>
      <c r="N24" s="186">
        <f>IF('C.SOC'!F26=0," ",'C.SOC'!F26)</f>
        <v>31</v>
      </c>
      <c r="O24" s="199">
        <f>IF('E. FIS.'!C26=0," ",'E. FIS.'!C26)</f>
        <v>85</v>
      </c>
      <c r="P24" s="181" t="str">
        <f>IF('E. FIS.'!D26=0," ",'E. FIS.'!D26)</f>
        <v xml:space="preserve"> </v>
      </c>
      <c r="Q24" s="181" t="str">
        <f>IF('E. FIS.'!E26=0," ",'E. FIS.'!E26)</f>
        <v xml:space="preserve"> </v>
      </c>
      <c r="R24" s="200">
        <f>IF('E. FIS.'!F26=0," ",'E. FIS.'!F26)</f>
        <v>28</v>
      </c>
      <c r="S24" s="201">
        <f>IF(MUS.!C26=0," ",MUS.!C26)</f>
        <v>99</v>
      </c>
      <c r="T24" s="181" t="str">
        <f>IF(MUS.!D26=0," ",MUS.!D26)</f>
        <v xml:space="preserve"> </v>
      </c>
      <c r="U24" s="181" t="str">
        <f>IF(MUS.!E26=0," ",MUS.!E26)</f>
        <v xml:space="preserve"> </v>
      </c>
      <c r="V24" s="186">
        <f>IF(MUS.!F26=0," ",MUS.!F26)</f>
        <v>33</v>
      </c>
      <c r="W24" s="199">
        <f>IF('A.PL. '!C26=0," ",'A.PL. '!C26)</f>
        <v>89</v>
      </c>
      <c r="X24" s="181" t="str">
        <f>IF('A.PL. '!D26=0," ",'A.PL. '!D26)</f>
        <v xml:space="preserve"> </v>
      </c>
      <c r="Y24" s="181" t="str">
        <f>IF('A.PL. '!E26=0," ",'A.PL. '!E26)</f>
        <v xml:space="preserve"> </v>
      </c>
      <c r="Z24" s="200">
        <f>IF('A.PL. '!F26=0," ",'A.PL. '!F26)</f>
        <v>30</v>
      </c>
      <c r="AA24" s="199">
        <f>IF(MAT!C26=0," ",MAT!C26)</f>
        <v>98</v>
      </c>
      <c r="AB24" s="181" t="str">
        <f>IF(MAT!D26=0," ",MAT!D26)</f>
        <v xml:space="preserve"> </v>
      </c>
      <c r="AC24" s="181" t="str">
        <f>IF(MAT!E26=0," ",MAT!E26)</f>
        <v xml:space="preserve"> </v>
      </c>
      <c r="AD24" s="186">
        <f>IF(MAT!F26=0," ",MAT!F26)</f>
        <v>33</v>
      </c>
      <c r="AE24" s="202">
        <f>IF('T. TEC. GRAL'!C26=0," ",'T. TEC. GRAL'!C26)</f>
        <v>94</v>
      </c>
      <c r="AF24" s="186" t="str">
        <f>IF('T. TEC. GRAL'!D26=0," ",'T. TEC. GRAL'!D26)</f>
        <v xml:space="preserve"> </v>
      </c>
      <c r="AG24" s="186" t="str">
        <f>IF('T. TEC. GRAL'!E26=0," ",'T. TEC. GRAL'!E26)</f>
        <v xml:space="preserve"> </v>
      </c>
      <c r="AH24" s="200">
        <f>IF('T. TEC. GRAL'!F26=0," ",'T. TEC. GRAL'!F26)</f>
        <v>31</v>
      </c>
      <c r="AI24" s="201">
        <f>IF('BIO-GEO'!C26=0," ",'BIO-GEO'!C26)</f>
        <v>90</v>
      </c>
      <c r="AJ24" s="181" t="str">
        <f>IF('BIO-GEO'!D26=0," ",'BIO-GEO'!D26)</f>
        <v xml:space="preserve"> </v>
      </c>
      <c r="AK24" s="181" t="str">
        <f>IF('BIO-GEO'!E26=0," ",'BIO-GEO'!E26)</f>
        <v xml:space="preserve"> </v>
      </c>
      <c r="AL24" s="186">
        <f>IF('BIO-GEO'!F26=0," ",'BIO-GEO'!F26)</f>
        <v>30</v>
      </c>
      <c r="AM24" s="199">
        <f>IF(PSI!C26=0," ",PSI!C26)</f>
        <v>86</v>
      </c>
      <c r="AN24" s="181" t="str">
        <f>IF(PSI!D26=0," ",PSI!D26)</f>
        <v xml:space="preserve"> </v>
      </c>
      <c r="AO24" s="181" t="str">
        <f>IF(PSI!E26=0," ",PSI!E26)</f>
        <v xml:space="preserve"> </v>
      </c>
      <c r="AP24" s="181">
        <f>IF(PSI!F26=0," ",PSI!F26)</f>
        <v>29</v>
      </c>
      <c r="AQ24" s="199">
        <f>IF('REL.'!C26=0," ",'REL.'!C26)</f>
        <v>93.666666666666657</v>
      </c>
      <c r="AR24" s="48" t="str">
        <f>IF('REL.'!D26=0," ",'REL.'!D26)</f>
        <v xml:space="preserve"> </v>
      </c>
      <c r="AS24" s="48" t="str">
        <f>IF('REL.'!E26=0," ",'REL.'!E26)</f>
        <v xml:space="preserve"> </v>
      </c>
      <c r="AT24" s="95">
        <f>IF('REL.'!F26=0," ",'REL.'!F26)</f>
        <v>31</v>
      </c>
    </row>
    <row r="25" spans="1:46">
      <c r="A25" s="48">
        <f>NOMINA!A27</f>
        <v>22</v>
      </c>
      <c r="B25" s="85" t="str">
        <f>NOMINA!B27</f>
        <v>MONTAÑO QUILO BENJAMIN GONZALO</v>
      </c>
      <c r="C25" s="199">
        <f>IF(LEN!C27=0," ",LEN!C27)</f>
        <v>44</v>
      </c>
      <c r="D25" s="181" t="str">
        <f>IF(LEN!D27=0," ",LEN!D27)</f>
        <v xml:space="preserve"> </v>
      </c>
      <c r="E25" s="181" t="str">
        <f>IF(LEN!E27=0," ",LEN!E27)</f>
        <v xml:space="preserve"> </v>
      </c>
      <c r="F25" s="186">
        <f>IF(LEN!F27=0," ",LEN!F27)</f>
        <v>15</v>
      </c>
      <c r="G25" s="199">
        <f>IF(ING!C27=0," ",ING!C27)</f>
        <v>48</v>
      </c>
      <c r="H25" s="181" t="str">
        <f>IF(ING!D27=0," ",ING!D27)</f>
        <v xml:space="preserve"> </v>
      </c>
      <c r="I25" s="181" t="str">
        <f>IF(ING!E27=0," ",ING!E27)</f>
        <v xml:space="preserve"> </v>
      </c>
      <c r="J25" s="200">
        <f>IF(ING!F27=0," ",ING!F27)</f>
        <v>16</v>
      </c>
      <c r="K25" s="201">
        <f>IF('C.SOC'!C27=0," ",'C.SOC'!C27)</f>
        <v>40</v>
      </c>
      <c r="L25" s="181" t="str">
        <f>IF('C.SOC'!D27=0," ",'C.SOC'!D27)</f>
        <v xml:space="preserve"> </v>
      </c>
      <c r="M25" s="181" t="str">
        <f>IF('C.SOC'!E27=0," ",'C.SOC'!E27)</f>
        <v xml:space="preserve"> </v>
      </c>
      <c r="N25" s="186">
        <f>IF('C.SOC'!F27=0," ",'C.SOC'!F27)</f>
        <v>13</v>
      </c>
      <c r="O25" s="199">
        <f>IF('E. FIS.'!C27=0," ",'E. FIS.'!C27)</f>
        <v>64</v>
      </c>
      <c r="P25" s="181" t="str">
        <f>IF('E. FIS.'!D27=0," ",'E. FIS.'!D27)</f>
        <v xml:space="preserve"> </v>
      </c>
      <c r="Q25" s="181" t="str">
        <f>IF('E. FIS.'!E27=0," ",'E. FIS.'!E27)</f>
        <v xml:space="preserve"> </v>
      </c>
      <c r="R25" s="200">
        <f>IF('E. FIS.'!F27=0," ",'E. FIS.'!F27)</f>
        <v>21</v>
      </c>
      <c r="S25" s="201">
        <f>IF(MUS.!C27=0," ",MUS.!C27)</f>
        <v>45</v>
      </c>
      <c r="T25" s="181" t="str">
        <f>IF(MUS.!D27=0," ",MUS.!D27)</f>
        <v xml:space="preserve"> </v>
      </c>
      <c r="U25" s="181" t="str">
        <f>IF(MUS.!E27=0," ",MUS.!E27)</f>
        <v xml:space="preserve"> </v>
      </c>
      <c r="V25" s="186">
        <f>IF(MUS.!F27=0," ",MUS.!F27)</f>
        <v>15</v>
      </c>
      <c r="W25" s="199">
        <f>IF('A.PL. '!C27=0," ",'A.PL. '!C27)</f>
        <v>58</v>
      </c>
      <c r="X25" s="181" t="str">
        <f>IF('A.PL. '!D27=0," ",'A.PL. '!D27)</f>
        <v xml:space="preserve"> </v>
      </c>
      <c r="Y25" s="181" t="str">
        <f>IF('A.PL. '!E27=0," ",'A.PL. '!E27)</f>
        <v xml:space="preserve"> </v>
      </c>
      <c r="Z25" s="200">
        <f>IF('A.PL. '!F27=0," ",'A.PL. '!F27)</f>
        <v>19</v>
      </c>
      <c r="AA25" s="199">
        <f>IF(MAT!C27=0," ",MAT!C27)</f>
        <v>48</v>
      </c>
      <c r="AB25" s="181" t="str">
        <f>IF(MAT!D27=0," ",MAT!D27)</f>
        <v xml:space="preserve"> </v>
      </c>
      <c r="AC25" s="181" t="str">
        <f>IF(MAT!E27=0," ",MAT!E27)</f>
        <v xml:space="preserve"> </v>
      </c>
      <c r="AD25" s="186">
        <f>IF(MAT!F27=0," ",MAT!F27)</f>
        <v>16</v>
      </c>
      <c r="AE25" s="202">
        <f>IF('T. TEC. GRAL'!C27=0," ",'T. TEC. GRAL'!C27)</f>
        <v>55</v>
      </c>
      <c r="AF25" s="186" t="str">
        <f>IF('T. TEC. GRAL'!D27=0," ",'T. TEC. GRAL'!D27)</f>
        <v xml:space="preserve"> </v>
      </c>
      <c r="AG25" s="186" t="str">
        <f>IF('T. TEC. GRAL'!E27=0," ",'T. TEC. GRAL'!E27)</f>
        <v xml:space="preserve"> </v>
      </c>
      <c r="AH25" s="200">
        <f>IF('T. TEC. GRAL'!F27=0," ",'T. TEC. GRAL'!F27)</f>
        <v>18</v>
      </c>
      <c r="AI25" s="201">
        <f>IF('BIO-GEO'!C27=0," ",'BIO-GEO'!C27)</f>
        <v>56</v>
      </c>
      <c r="AJ25" s="181" t="str">
        <f>IF('BIO-GEO'!D27=0," ",'BIO-GEO'!D27)</f>
        <v xml:space="preserve"> </v>
      </c>
      <c r="AK25" s="181" t="str">
        <f>IF('BIO-GEO'!E27=0," ",'BIO-GEO'!E27)</f>
        <v xml:space="preserve"> </v>
      </c>
      <c r="AL25" s="186">
        <f>IF('BIO-GEO'!F27=0," ",'BIO-GEO'!F27)</f>
        <v>19</v>
      </c>
      <c r="AM25" s="199">
        <f>IF(PSI!C27=0," ",PSI!C27)</f>
        <v>41</v>
      </c>
      <c r="AN25" s="181" t="str">
        <f>IF(PSI!D27=0," ",PSI!D27)</f>
        <v xml:space="preserve"> </v>
      </c>
      <c r="AO25" s="181" t="str">
        <f>IF(PSI!E27=0," ",PSI!E27)</f>
        <v xml:space="preserve"> </v>
      </c>
      <c r="AP25" s="181">
        <f>IF(PSI!F27=0," ",PSI!F27)</f>
        <v>14</v>
      </c>
      <c r="AQ25" s="199">
        <f>IF('REL.'!C27=0," ",'REL.'!C27)</f>
        <v>58.833333333333329</v>
      </c>
      <c r="AR25" s="48" t="str">
        <f>IF('REL.'!D27=0," ",'REL.'!D27)</f>
        <v xml:space="preserve"> </v>
      </c>
      <c r="AS25" s="48" t="str">
        <f>IF('REL.'!E27=0," ",'REL.'!E27)</f>
        <v xml:space="preserve"> </v>
      </c>
      <c r="AT25" s="95">
        <f>IF('REL.'!F27=0," ",'REL.'!F27)</f>
        <v>20</v>
      </c>
    </row>
    <row r="26" spans="1:46">
      <c r="A26" s="48">
        <f>NOMINA!A28</f>
        <v>23</v>
      </c>
      <c r="B26" s="85" t="str">
        <f>NOMINA!B28</f>
        <v>PANIAGUA VARGAS KEYLA</v>
      </c>
      <c r="C26" s="199">
        <f>IF(LEN!C28=0," ",LEN!C28)</f>
        <v>57</v>
      </c>
      <c r="D26" s="181" t="str">
        <f>IF(LEN!D28=0," ",LEN!D28)</f>
        <v xml:space="preserve"> </v>
      </c>
      <c r="E26" s="181" t="str">
        <f>IF(LEN!E28=0," ",LEN!E28)</f>
        <v xml:space="preserve"> </v>
      </c>
      <c r="F26" s="186">
        <f>IF(LEN!F28=0," ",LEN!F28)</f>
        <v>19</v>
      </c>
      <c r="G26" s="199">
        <f>IF(ING!C28=0," ",ING!C28)</f>
        <v>68</v>
      </c>
      <c r="H26" s="181" t="str">
        <f>IF(ING!D28=0," ",ING!D28)</f>
        <v xml:space="preserve"> </v>
      </c>
      <c r="I26" s="181" t="str">
        <f>IF(ING!E28=0," ",ING!E28)</f>
        <v xml:space="preserve"> </v>
      </c>
      <c r="J26" s="200">
        <f>IF(ING!F28=0," ",ING!F28)</f>
        <v>23</v>
      </c>
      <c r="K26" s="201">
        <f>IF('C.SOC'!C28=0," ",'C.SOC'!C28)</f>
        <v>66</v>
      </c>
      <c r="L26" s="181" t="str">
        <f>IF('C.SOC'!D28=0," ",'C.SOC'!D28)</f>
        <v xml:space="preserve"> </v>
      </c>
      <c r="M26" s="181" t="str">
        <f>IF('C.SOC'!E28=0," ",'C.SOC'!E28)</f>
        <v xml:space="preserve"> </v>
      </c>
      <c r="N26" s="186">
        <f>IF('C.SOC'!F28=0," ",'C.SOC'!F28)</f>
        <v>22</v>
      </c>
      <c r="O26" s="199">
        <f>IF('E. FIS.'!C28=0," ",'E. FIS.'!C28)</f>
        <v>79</v>
      </c>
      <c r="P26" s="181" t="str">
        <f>IF('E. FIS.'!D28=0," ",'E. FIS.'!D28)</f>
        <v xml:space="preserve"> </v>
      </c>
      <c r="Q26" s="181" t="str">
        <f>IF('E. FIS.'!E28=0," ",'E. FIS.'!E28)</f>
        <v xml:space="preserve"> </v>
      </c>
      <c r="R26" s="200">
        <f>IF('E. FIS.'!F28=0," ",'E. FIS.'!F28)</f>
        <v>26</v>
      </c>
      <c r="S26" s="201">
        <f>IF(MUS.!C28=0," ",MUS.!C28)</f>
        <v>77</v>
      </c>
      <c r="T26" s="181" t="str">
        <f>IF(MUS.!D28=0," ",MUS.!D28)</f>
        <v xml:space="preserve"> </v>
      </c>
      <c r="U26" s="181" t="str">
        <f>IF(MUS.!E28=0," ",MUS.!E28)</f>
        <v xml:space="preserve"> </v>
      </c>
      <c r="V26" s="186">
        <f>IF(MUS.!F28=0," ",MUS.!F28)</f>
        <v>26</v>
      </c>
      <c r="W26" s="199">
        <f>IF('A.PL. '!C28=0," ",'A.PL. '!C28)</f>
        <v>86</v>
      </c>
      <c r="X26" s="181" t="str">
        <f>IF('A.PL. '!D28=0," ",'A.PL. '!D28)</f>
        <v xml:space="preserve"> </v>
      </c>
      <c r="Y26" s="181" t="str">
        <f>IF('A.PL. '!E28=0," ",'A.PL. '!E28)</f>
        <v xml:space="preserve"> </v>
      </c>
      <c r="Z26" s="200">
        <f>IF('A.PL. '!F28=0," ",'A.PL. '!F28)</f>
        <v>29</v>
      </c>
      <c r="AA26" s="199">
        <f>IF(MAT!C28=0," ",MAT!C28)</f>
        <v>54</v>
      </c>
      <c r="AB26" s="181" t="str">
        <f>IF(MAT!D28=0," ",MAT!D28)</f>
        <v xml:space="preserve"> </v>
      </c>
      <c r="AC26" s="181" t="str">
        <f>IF(MAT!E28=0," ",MAT!E28)</f>
        <v xml:space="preserve"> </v>
      </c>
      <c r="AD26" s="186">
        <f>IF(MAT!F28=0," ",MAT!F28)</f>
        <v>18</v>
      </c>
      <c r="AE26" s="202">
        <f>IF('T. TEC. GRAL'!C28=0," ",'T. TEC. GRAL'!C28)</f>
        <v>60</v>
      </c>
      <c r="AF26" s="186" t="str">
        <f>IF('T. TEC. GRAL'!D28=0," ",'T. TEC. GRAL'!D28)</f>
        <v xml:space="preserve"> </v>
      </c>
      <c r="AG26" s="186" t="str">
        <f>IF('T. TEC. GRAL'!E28=0," ",'T. TEC. GRAL'!E28)</f>
        <v xml:space="preserve"> </v>
      </c>
      <c r="AH26" s="200">
        <f>IF('T. TEC. GRAL'!F28=0," ",'T. TEC. GRAL'!F28)</f>
        <v>20</v>
      </c>
      <c r="AI26" s="201">
        <f>IF('BIO-GEO'!C28=0," ",'BIO-GEO'!C28)</f>
        <v>73</v>
      </c>
      <c r="AJ26" s="181" t="str">
        <f>IF('BIO-GEO'!D28=0," ",'BIO-GEO'!D28)</f>
        <v xml:space="preserve"> </v>
      </c>
      <c r="AK26" s="181" t="str">
        <f>IF('BIO-GEO'!E28=0," ",'BIO-GEO'!E28)</f>
        <v xml:space="preserve"> </v>
      </c>
      <c r="AL26" s="186">
        <f>IF('BIO-GEO'!F28=0," ",'BIO-GEO'!F28)</f>
        <v>24</v>
      </c>
      <c r="AM26" s="199">
        <f>IF(PSI!C28=0," ",PSI!C28)</f>
        <v>85</v>
      </c>
      <c r="AN26" s="181" t="str">
        <f>IF(PSI!D28=0," ",PSI!D28)</f>
        <v xml:space="preserve"> </v>
      </c>
      <c r="AO26" s="181" t="str">
        <f>IF(PSI!E28=0," ",PSI!E28)</f>
        <v xml:space="preserve"> </v>
      </c>
      <c r="AP26" s="181">
        <f>IF(PSI!F28=0," ",PSI!F28)</f>
        <v>28</v>
      </c>
      <c r="AQ26" s="199">
        <f>IF('REL.'!C28=0," ",'REL.'!C28)</f>
        <v>78.666666666666657</v>
      </c>
      <c r="AR26" s="48" t="str">
        <f>IF('REL.'!D28=0," ",'REL.'!D28)</f>
        <v xml:space="preserve"> </v>
      </c>
      <c r="AS26" s="48" t="str">
        <f>IF('REL.'!E28=0," ",'REL.'!E28)</f>
        <v xml:space="preserve"> </v>
      </c>
      <c r="AT26" s="95">
        <f>IF('REL.'!F28=0," ",'REL.'!F28)</f>
        <v>26</v>
      </c>
    </row>
    <row r="27" spans="1:46">
      <c r="A27" s="48">
        <f>NOMINA!A29</f>
        <v>24</v>
      </c>
      <c r="B27" s="85" t="str">
        <f>NOMINA!B29</f>
        <v>PATZI GUARACHI MARIA BELEN</v>
      </c>
      <c r="C27" s="199">
        <f>IF(LEN!C29=0," ",LEN!C29)</f>
        <v>86</v>
      </c>
      <c r="D27" s="181" t="str">
        <f>IF(LEN!D29=0," ",LEN!D29)</f>
        <v xml:space="preserve"> </v>
      </c>
      <c r="E27" s="181" t="str">
        <f>IF(LEN!E29=0," ",LEN!E29)</f>
        <v xml:space="preserve"> </v>
      </c>
      <c r="F27" s="186">
        <f>IF(LEN!F29=0," ",LEN!F29)</f>
        <v>29</v>
      </c>
      <c r="G27" s="199">
        <f>IF(ING!C29=0," ",ING!C29)</f>
        <v>92</v>
      </c>
      <c r="H27" s="181" t="str">
        <f>IF(ING!D29=0," ",ING!D29)</f>
        <v xml:space="preserve"> </v>
      </c>
      <c r="I27" s="181" t="str">
        <f>IF(ING!E29=0," ",ING!E29)</f>
        <v xml:space="preserve"> </v>
      </c>
      <c r="J27" s="200">
        <f>IF(ING!F29=0," ",ING!F29)</f>
        <v>31</v>
      </c>
      <c r="K27" s="201">
        <f>IF('C.SOC'!C29=0," ",'C.SOC'!C29)</f>
        <v>70</v>
      </c>
      <c r="L27" s="181" t="str">
        <f>IF('C.SOC'!D29=0," ",'C.SOC'!D29)</f>
        <v xml:space="preserve"> </v>
      </c>
      <c r="M27" s="181" t="str">
        <f>IF('C.SOC'!E29=0," ",'C.SOC'!E29)</f>
        <v xml:space="preserve"> </v>
      </c>
      <c r="N27" s="186">
        <f>IF('C.SOC'!F29=0," ",'C.SOC'!F29)</f>
        <v>23</v>
      </c>
      <c r="O27" s="199">
        <f>IF('E. FIS.'!C29=0," ",'E. FIS.'!C29)</f>
        <v>63</v>
      </c>
      <c r="P27" s="181" t="str">
        <f>IF('E. FIS.'!D29=0," ",'E. FIS.'!D29)</f>
        <v xml:space="preserve"> </v>
      </c>
      <c r="Q27" s="181" t="str">
        <f>IF('E. FIS.'!E29=0," ",'E. FIS.'!E29)</f>
        <v xml:space="preserve"> </v>
      </c>
      <c r="R27" s="200">
        <f>IF('E. FIS.'!F29=0," ",'E. FIS.'!F29)</f>
        <v>21</v>
      </c>
      <c r="S27" s="201">
        <f>IF(MUS.!C29=0," ",MUS.!C29)</f>
        <v>100</v>
      </c>
      <c r="T27" s="181" t="str">
        <f>IF(MUS.!D29=0," ",MUS.!D29)</f>
        <v xml:space="preserve"> </v>
      </c>
      <c r="U27" s="181" t="str">
        <f>IF(MUS.!E29=0," ",MUS.!E29)</f>
        <v xml:space="preserve"> </v>
      </c>
      <c r="V27" s="186">
        <f>IF(MUS.!F29=0," ",MUS.!F29)</f>
        <v>33</v>
      </c>
      <c r="W27" s="199">
        <f>IF('A.PL. '!C29=0," ",'A.PL. '!C29)</f>
        <v>62</v>
      </c>
      <c r="X27" s="181" t="str">
        <f>IF('A.PL. '!D29=0," ",'A.PL. '!D29)</f>
        <v xml:space="preserve"> </v>
      </c>
      <c r="Y27" s="181" t="str">
        <f>IF('A.PL. '!E29=0," ",'A.PL. '!E29)</f>
        <v xml:space="preserve"> </v>
      </c>
      <c r="Z27" s="200">
        <f>IF('A.PL. '!F29=0," ",'A.PL. '!F29)</f>
        <v>21</v>
      </c>
      <c r="AA27" s="199">
        <f>IF(MAT!C29=0," ",MAT!C29)</f>
        <v>97</v>
      </c>
      <c r="AB27" s="181" t="str">
        <f>IF(MAT!D29=0," ",MAT!D29)</f>
        <v xml:space="preserve"> </v>
      </c>
      <c r="AC27" s="181" t="str">
        <f>IF(MAT!E29=0," ",MAT!E29)</f>
        <v xml:space="preserve"> </v>
      </c>
      <c r="AD27" s="186">
        <f>IF(MAT!F29=0," ",MAT!F29)</f>
        <v>32</v>
      </c>
      <c r="AE27" s="202">
        <f>IF('T. TEC. GRAL'!C29=0," ",'T. TEC. GRAL'!C29)</f>
        <v>75</v>
      </c>
      <c r="AF27" s="186" t="str">
        <f>IF('T. TEC. GRAL'!D29=0," ",'T. TEC. GRAL'!D29)</f>
        <v xml:space="preserve"> </v>
      </c>
      <c r="AG27" s="186" t="str">
        <f>IF('T. TEC. GRAL'!E29=0," ",'T. TEC. GRAL'!E29)</f>
        <v xml:space="preserve"> </v>
      </c>
      <c r="AH27" s="200">
        <f>IF('T. TEC. GRAL'!F29=0," ",'T. TEC. GRAL'!F29)</f>
        <v>25</v>
      </c>
      <c r="AI27" s="201">
        <f>IF('BIO-GEO'!C29=0," ",'BIO-GEO'!C29)</f>
        <v>87</v>
      </c>
      <c r="AJ27" s="181" t="str">
        <f>IF('BIO-GEO'!D29=0," ",'BIO-GEO'!D29)</f>
        <v xml:space="preserve"> </v>
      </c>
      <c r="AK27" s="181" t="str">
        <f>IF('BIO-GEO'!E29=0," ",'BIO-GEO'!E29)</f>
        <v xml:space="preserve"> </v>
      </c>
      <c r="AL27" s="186">
        <f>IF('BIO-GEO'!F29=0," ",'BIO-GEO'!F29)</f>
        <v>29</v>
      </c>
      <c r="AM27" s="199">
        <f>IF(PSI!C29=0," ",PSI!C29)</f>
        <v>87</v>
      </c>
      <c r="AN27" s="181" t="str">
        <f>IF(PSI!D29=0," ",PSI!D29)</f>
        <v xml:space="preserve"> </v>
      </c>
      <c r="AO27" s="181" t="str">
        <f>IF(PSI!E29=0," ",PSI!E29)</f>
        <v xml:space="preserve"> </v>
      </c>
      <c r="AP27" s="181">
        <f>IF(PSI!F29=0," ",PSI!F29)</f>
        <v>29</v>
      </c>
      <c r="AQ27" s="199">
        <f>IF('REL.'!C29=0," ",'REL.'!C29)</f>
        <v>73.166666666666657</v>
      </c>
      <c r="AR27" s="48" t="str">
        <f>IF('REL.'!D29=0," ",'REL.'!D29)</f>
        <v xml:space="preserve"> </v>
      </c>
      <c r="AS27" s="48" t="str">
        <f>IF('REL.'!E29=0," ",'REL.'!E29)</f>
        <v xml:space="preserve"> </v>
      </c>
      <c r="AT27" s="95">
        <f>IF('REL.'!F29=0," ",'REL.'!F29)</f>
        <v>24</v>
      </c>
    </row>
    <row r="28" spans="1:46">
      <c r="A28" s="48">
        <f>NOMINA!A30</f>
        <v>25</v>
      </c>
      <c r="B28" s="85" t="str">
        <f>NOMINA!B30</f>
        <v>QUENALLATA CESPEDES LUMAIDA YANISS</v>
      </c>
      <c r="C28" s="199">
        <f>IF(LEN!C30=0," ",LEN!C30)</f>
        <v>43</v>
      </c>
      <c r="D28" s="181" t="str">
        <f>IF(LEN!D30=0," ",LEN!D30)</f>
        <v xml:space="preserve"> </v>
      </c>
      <c r="E28" s="181" t="str">
        <f>IF(LEN!E30=0," ",LEN!E30)</f>
        <v xml:space="preserve"> </v>
      </c>
      <c r="F28" s="186">
        <f>IF(LEN!F30=0," ",LEN!F30)</f>
        <v>14</v>
      </c>
      <c r="G28" s="199">
        <f>IF(ING!C30=0," ",ING!C30)</f>
        <v>46</v>
      </c>
      <c r="H28" s="181" t="str">
        <f>IF(ING!D30=0," ",ING!D30)</f>
        <v xml:space="preserve"> </v>
      </c>
      <c r="I28" s="181" t="str">
        <f>IF(ING!E30=0," ",ING!E30)</f>
        <v xml:space="preserve"> </v>
      </c>
      <c r="J28" s="200">
        <f>IF(ING!F30=0," ",ING!F30)</f>
        <v>15</v>
      </c>
      <c r="K28" s="201">
        <f>IF('C.SOC'!C30=0," ",'C.SOC'!C30)</f>
        <v>40</v>
      </c>
      <c r="L28" s="181" t="str">
        <f>IF('C.SOC'!D30=0," ",'C.SOC'!D30)</f>
        <v xml:space="preserve"> </v>
      </c>
      <c r="M28" s="181" t="str">
        <f>IF('C.SOC'!E30=0," ",'C.SOC'!E30)</f>
        <v xml:space="preserve"> </v>
      </c>
      <c r="N28" s="186">
        <f>IF('C.SOC'!F30=0," ",'C.SOC'!F30)</f>
        <v>13</v>
      </c>
      <c r="O28" s="199">
        <f>IF('E. FIS.'!C30=0," ",'E. FIS.'!C30)</f>
        <v>59</v>
      </c>
      <c r="P28" s="181" t="str">
        <f>IF('E. FIS.'!D30=0," ",'E. FIS.'!D30)</f>
        <v xml:space="preserve"> </v>
      </c>
      <c r="Q28" s="181" t="str">
        <f>IF('E. FIS.'!E30=0," ",'E. FIS.'!E30)</f>
        <v xml:space="preserve"> </v>
      </c>
      <c r="R28" s="200">
        <f>IF('E. FIS.'!F30=0," ",'E. FIS.'!F30)</f>
        <v>20</v>
      </c>
      <c r="S28" s="201">
        <f>IF(MUS.!C30=0," ",MUS.!C30)</f>
        <v>78</v>
      </c>
      <c r="T28" s="181" t="str">
        <f>IF(MUS.!D30=0," ",MUS.!D30)</f>
        <v xml:space="preserve"> </v>
      </c>
      <c r="U28" s="181" t="str">
        <f>IF(MUS.!E30=0," ",MUS.!E30)</f>
        <v xml:space="preserve"> </v>
      </c>
      <c r="V28" s="186">
        <f>IF(MUS.!F30=0," ",MUS.!F30)</f>
        <v>26</v>
      </c>
      <c r="W28" s="199">
        <f>IF('A.PL. '!C30=0," ",'A.PL. '!C30)</f>
        <v>58</v>
      </c>
      <c r="X28" s="181" t="str">
        <f>IF('A.PL. '!D30=0," ",'A.PL. '!D30)</f>
        <v xml:space="preserve"> </v>
      </c>
      <c r="Y28" s="181" t="str">
        <f>IF('A.PL. '!E30=0," ",'A.PL. '!E30)</f>
        <v xml:space="preserve"> </v>
      </c>
      <c r="Z28" s="200">
        <f>IF('A.PL. '!F30=0," ",'A.PL. '!F30)</f>
        <v>19</v>
      </c>
      <c r="AA28" s="199">
        <f>IF(MAT!C30=0," ",MAT!C30)</f>
        <v>53</v>
      </c>
      <c r="AB28" s="181" t="str">
        <f>IF(MAT!D30=0," ",MAT!D30)</f>
        <v xml:space="preserve"> </v>
      </c>
      <c r="AC28" s="181" t="str">
        <f>IF(MAT!E30=0," ",MAT!E30)</f>
        <v xml:space="preserve"> </v>
      </c>
      <c r="AD28" s="186">
        <f>IF(MAT!F30=0," ",MAT!F30)</f>
        <v>18</v>
      </c>
      <c r="AE28" s="202">
        <f>IF('T. TEC. GRAL'!C30=0," ",'T. TEC. GRAL'!C30)</f>
        <v>64</v>
      </c>
      <c r="AF28" s="186" t="str">
        <f>IF('T. TEC. GRAL'!D30=0," ",'T. TEC. GRAL'!D30)</f>
        <v xml:space="preserve"> </v>
      </c>
      <c r="AG28" s="186" t="str">
        <f>IF('T. TEC. GRAL'!E30=0," ",'T. TEC. GRAL'!E30)</f>
        <v xml:space="preserve"> </v>
      </c>
      <c r="AH28" s="200">
        <f>IF('T. TEC. GRAL'!F30=0," ",'T. TEC. GRAL'!F30)</f>
        <v>21</v>
      </c>
      <c r="AI28" s="201">
        <f>IF('BIO-GEO'!C30=0," ",'BIO-GEO'!C30)</f>
        <v>71</v>
      </c>
      <c r="AJ28" s="181" t="str">
        <f>IF('BIO-GEO'!D30=0," ",'BIO-GEO'!D30)</f>
        <v xml:space="preserve"> </v>
      </c>
      <c r="AK28" s="181" t="str">
        <f>IF('BIO-GEO'!E30=0," ",'BIO-GEO'!E30)</f>
        <v xml:space="preserve"> </v>
      </c>
      <c r="AL28" s="186">
        <f>IF('BIO-GEO'!F30=0," ",'BIO-GEO'!F30)</f>
        <v>24</v>
      </c>
      <c r="AM28" s="199">
        <f>IF(PSI!C30=0," ",PSI!C30)</f>
        <v>38</v>
      </c>
      <c r="AN28" s="181" t="str">
        <f>IF(PSI!D30=0," ",PSI!D30)</f>
        <v xml:space="preserve"> </v>
      </c>
      <c r="AO28" s="181" t="str">
        <f>IF(PSI!E30=0," ",PSI!E30)</f>
        <v xml:space="preserve"> </v>
      </c>
      <c r="AP28" s="181">
        <f>IF(PSI!F30=0," ",PSI!F30)</f>
        <v>13</v>
      </c>
      <c r="AQ28" s="199">
        <f>IF('REL.'!C30=0," ",'REL.'!C30)</f>
        <v>55.416666666666664</v>
      </c>
      <c r="AR28" s="48" t="str">
        <f>IF('REL.'!D30=0," ",'REL.'!D30)</f>
        <v xml:space="preserve"> </v>
      </c>
      <c r="AS28" s="48" t="str">
        <f>IF('REL.'!E30=0," ",'REL.'!E30)</f>
        <v xml:space="preserve"> </v>
      </c>
      <c r="AT28" s="95">
        <f>IF('REL.'!F30=0," ",'REL.'!F30)</f>
        <v>18</v>
      </c>
    </row>
    <row r="29" spans="1:46">
      <c r="A29" s="48">
        <f>NOMINA!A31</f>
        <v>26</v>
      </c>
      <c r="B29" s="85" t="str">
        <f>NOMINA!B31</f>
        <v>QUISPE ESCARZA CIELO</v>
      </c>
      <c r="C29" s="199">
        <f>IF(LEN!C31=0," ",LEN!C31)</f>
        <v>47</v>
      </c>
      <c r="D29" s="181" t="str">
        <f>IF(LEN!D31=0," ",LEN!D31)</f>
        <v xml:space="preserve"> </v>
      </c>
      <c r="E29" s="181" t="str">
        <f>IF(LEN!E31=0," ",LEN!E31)</f>
        <v xml:space="preserve"> </v>
      </c>
      <c r="F29" s="186">
        <f>IF(LEN!F31=0," ",LEN!F31)</f>
        <v>16</v>
      </c>
      <c r="G29" s="199">
        <f>IF(ING!C31=0," ",ING!C31)</f>
        <v>51</v>
      </c>
      <c r="H29" s="181" t="str">
        <f>IF(ING!D31=0," ",ING!D31)</f>
        <v xml:space="preserve"> </v>
      </c>
      <c r="I29" s="181" t="str">
        <f>IF(ING!E31=0," ",ING!E31)</f>
        <v xml:space="preserve"> </v>
      </c>
      <c r="J29" s="200">
        <f>IF(ING!F31=0," ",ING!F31)</f>
        <v>17</v>
      </c>
      <c r="K29" s="201">
        <f>IF('C.SOC'!C31=0," ",'C.SOC'!C31)</f>
        <v>40</v>
      </c>
      <c r="L29" s="181" t="str">
        <f>IF('C.SOC'!D31=0," ",'C.SOC'!D31)</f>
        <v xml:space="preserve"> </v>
      </c>
      <c r="M29" s="181" t="str">
        <f>IF('C.SOC'!E31=0," ",'C.SOC'!E31)</f>
        <v xml:space="preserve"> </v>
      </c>
      <c r="N29" s="186">
        <f>IF('C.SOC'!F31=0," ",'C.SOC'!F31)</f>
        <v>13</v>
      </c>
      <c r="O29" s="199">
        <f>IF('E. FIS.'!C31=0," ",'E. FIS.'!C31)</f>
        <v>55</v>
      </c>
      <c r="P29" s="181" t="str">
        <f>IF('E. FIS.'!D31=0," ",'E. FIS.'!D31)</f>
        <v xml:space="preserve"> </v>
      </c>
      <c r="Q29" s="181" t="str">
        <f>IF('E. FIS.'!E31=0," ",'E. FIS.'!E31)</f>
        <v xml:space="preserve"> </v>
      </c>
      <c r="R29" s="200">
        <f>IF('E. FIS.'!F31=0," ",'E. FIS.'!F31)</f>
        <v>18</v>
      </c>
      <c r="S29" s="201">
        <f>IF(MUS.!C31=0," ",MUS.!C31)</f>
        <v>47</v>
      </c>
      <c r="T29" s="181" t="str">
        <f>IF(MUS.!D31=0," ",MUS.!D31)</f>
        <v xml:space="preserve"> </v>
      </c>
      <c r="U29" s="181" t="str">
        <f>IF(MUS.!E31=0," ",MUS.!E31)</f>
        <v xml:space="preserve"> </v>
      </c>
      <c r="V29" s="186">
        <f>IF(MUS.!F31=0," ",MUS.!F31)</f>
        <v>16</v>
      </c>
      <c r="W29" s="199">
        <f>IF('A.PL. '!C31=0," ",'A.PL. '!C31)</f>
        <v>61</v>
      </c>
      <c r="X29" s="181" t="str">
        <f>IF('A.PL. '!D31=0," ",'A.PL. '!D31)</f>
        <v xml:space="preserve"> </v>
      </c>
      <c r="Y29" s="181" t="str">
        <f>IF('A.PL. '!E31=0," ",'A.PL. '!E31)</f>
        <v xml:space="preserve"> </v>
      </c>
      <c r="Z29" s="200">
        <f>IF('A.PL. '!F31=0," ",'A.PL. '!F31)</f>
        <v>20</v>
      </c>
      <c r="AA29" s="199">
        <f>IF(MAT!C31=0," ",MAT!C31)</f>
        <v>49</v>
      </c>
      <c r="AB29" s="181" t="str">
        <f>IF(MAT!D31=0," ",MAT!D31)</f>
        <v xml:space="preserve"> </v>
      </c>
      <c r="AC29" s="181" t="str">
        <f>IF(MAT!E31=0," ",MAT!E31)</f>
        <v xml:space="preserve"> </v>
      </c>
      <c r="AD29" s="186">
        <f>IF(MAT!F31=0," ",MAT!F31)</f>
        <v>16</v>
      </c>
      <c r="AE29" s="202">
        <f>IF('T. TEC. GRAL'!C31=0," ",'T. TEC. GRAL'!C31)</f>
        <v>39</v>
      </c>
      <c r="AF29" s="186" t="str">
        <f>IF('T. TEC. GRAL'!D31=0," ",'T. TEC. GRAL'!D31)</f>
        <v xml:space="preserve"> </v>
      </c>
      <c r="AG29" s="186" t="str">
        <f>IF('T. TEC. GRAL'!E31=0," ",'T. TEC. GRAL'!E31)</f>
        <v xml:space="preserve"> </v>
      </c>
      <c r="AH29" s="200">
        <f>IF('T. TEC. GRAL'!F31=0," ",'T. TEC. GRAL'!F31)</f>
        <v>13</v>
      </c>
      <c r="AI29" s="201">
        <f>IF('BIO-GEO'!C31=0," ",'BIO-GEO'!C31)</f>
        <v>70</v>
      </c>
      <c r="AJ29" s="181" t="str">
        <f>IF('BIO-GEO'!D31=0," ",'BIO-GEO'!D31)</f>
        <v xml:space="preserve"> </v>
      </c>
      <c r="AK29" s="181" t="str">
        <f>IF('BIO-GEO'!E31=0," ",'BIO-GEO'!E31)</f>
        <v xml:space="preserve"> </v>
      </c>
      <c r="AL29" s="186">
        <f>IF('BIO-GEO'!F31=0," ",'BIO-GEO'!F31)</f>
        <v>23</v>
      </c>
      <c r="AM29" s="199">
        <f>IF(PSI!C31=0," ",PSI!C31)</f>
        <v>56</v>
      </c>
      <c r="AN29" s="181" t="str">
        <f>IF(PSI!D31=0," ",PSI!D31)</f>
        <v xml:space="preserve"> </v>
      </c>
      <c r="AO29" s="181" t="str">
        <f>IF(PSI!E31=0," ",PSI!E31)</f>
        <v xml:space="preserve"> </v>
      </c>
      <c r="AP29" s="181">
        <f>IF(PSI!F31=0," ",PSI!F31)</f>
        <v>19</v>
      </c>
      <c r="AQ29" s="199">
        <f>IF('REL.'!C31=0," ",'REL.'!C31)</f>
        <v>62.833333333333329</v>
      </c>
      <c r="AR29" s="48" t="str">
        <f>IF('REL.'!D31=0," ",'REL.'!D31)</f>
        <v xml:space="preserve"> </v>
      </c>
      <c r="AS29" s="48" t="str">
        <f>IF('REL.'!E31=0," ",'REL.'!E31)</f>
        <v xml:space="preserve"> </v>
      </c>
      <c r="AT29" s="95">
        <f>IF('REL.'!F31=0," ",'REL.'!F31)</f>
        <v>21</v>
      </c>
    </row>
    <row r="30" spans="1:46">
      <c r="A30" s="48">
        <f>NOMINA!A32</f>
        <v>27</v>
      </c>
      <c r="B30" s="85" t="str">
        <f>NOMINA!B32</f>
        <v>QUISPE MILAN ADRIAN ANTHONY</v>
      </c>
      <c r="C30" s="199">
        <f>IF(LEN!C32=0," ",LEN!C32)</f>
        <v>57</v>
      </c>
      <c r="D30" s="181" t="str">
        <f>IF(LEN!D32=0," ",LEN!D32)</f>
        <v xml:space="preserve"> </v>
      </c>
      <c r="E30" s="181" t="str">
        <f>IF(LEN!E32=0," ",LEN!E32)</f>
        <v xml:space="preserve"> </v>
      </c>
      <c r="F30" s="186">
        <f>IF(LEN!F32=0," ",LEN!F32)</f>
        <v>19</v>
      </c>
      <c r="G30" s="199">
        <f>IF(ING!C32=0," ",ING!C32)</f>
        <v>53</v>
      </c>
      <c r="H30" s="181" t="str">
        <f>IF(ING!D32=0," ",ING!D32)</f>
        <v xml:space="preserve"> </v>
      </c>
      <c r="I30" s="181" t="str">
        <f>IF(ING!E32=0," ",ING!E32)</f>
        <v xml:space="preserve"> </v>
      </c>
      <c r="J30" s="200">
        <f>IF(ING!F32=0," ",ING!F32)</f>
        <v>18</v>
      </c>
      <c r="K30" s="201">
        <f>IF('C.SOC'!C32=0," ",'C.SOC'!C32)</f>
        <v>46</v>
      </c>
      <c r="L30" s="181" t="str">
        <f>IF('C.SOC'!D32=0," ",'C.SOC'!D32)</f>
        <v xml:space="preserve"> </v>
      </c>
      <c r="M30" s="181" t="str">
        <f>IF('C.SOC'!E32=0," ",'C.SOC'!E32)</f>
        <v xml:space="preserve"> </v>
      </c>
      <c r="N30" s="186">
        <f>IF('C.SOC'!F32=0," ",'C.SOC'!F32)</f>
        <v>15</v>
      </c>
      <c r="O30" s="199">
        <f>IF('E. FIS.'!C32=0," ",'E. FIS.'!C32)</f>
        <v>63</v>
      </c>
      <c r="P30" s="181" t="str">
        <f>IF('E. FIS.'!D32=0," ",'E. FIS.'!D32)</f>
        <v xml:space="preserve"> </v>
      </c>
      <c r="Q30" s="181" t="str">
        <f>IF('E. FIS.'!E32=0," ",'E. FIS.'!E32)</f>
        <v xml:space="preserve"> </v>
      </c>
      <c r="R30" s="200">
        <f>IF('E. FIS.'!F32=0," ",'E. FIS.'!F32)</f>
        <v>21</v>
      </c>
      <c r="S30" s="201">
        <f>IF(MUS.!C32=0," ",MUS.!C32)</f>
        <v>65</v>
      </c>
      <c r="T30" s="181" t="str">
        <f>IF(MUS.!D32=0," ",MUS.!D32)</f>
        <v xml:space="preserve"> </v>
      </c>
      <c r="U30" s="181" t="str">
        <f>IF(MUS.!E32=0," ",MUS.!E32)</f>
        <v xml:space="preserve"> </v>
      </c>
      <c r="V30" s="186">
        <f>IF(MUS.!F32=0," ",MUS.!F32)</f>
        <v>22</v>
      </c>
      <c r="W30" s="199">
        <f>IF('A.PL. '!C32=0," ",'A.PL. '!C32)</f>
        <v>60</v>
      </c>
      <c r="X30" s="181" t="str">
        <f>IF('A.PL. '!D32=0," ",'A.PL. '!D32)</f>
        <v xml:space="preserve"> </v>
      </c>
      <c r="Y30" s="181" t="str">
        <f>IF('A.PL. '!E32=0," ",'A.PL. '!E32)</f>
        <v xml:space="preserve"> </v>
      </c>
      <c r="Z30" s="200">
        <f>IF('A.PL. '!F32=0," ",'A.PL. '!F32)</f>
        <v>20</v>
      </c>
      <c r="AA30" s="199">
        <f>IF(MAT!C32=0," ",MAT!C32)</f>
        <v>62</v>
      </c>
      <c r="AB30" s="181" t="str">
        <f>IF(MAT!D32=0," ",MAT!D32)</f>
        <v xml:space="preserve"> </v>
      </c>
      <c r="AC30" s="181" t="str">
        <f>IF(MAT!E32=0," ",MAT!E32)</f>
        <v xml:space="preserve"> </v>
      </c>
      <c r="AD30" s="186">
        <f>IF(MAT!F32=0," ",MAT!F32)</f>
        <v>21</v>
      </c>
      <c r="AE30" s="202">
        <f>IF('T. TEC. GRAL'!C32=0," ",'T. TEC. GRAL'!C32)</f>
        <v>75</v>
      </c>
      <c r="AF30" s="186" t="str">
        <f>IF('T. TEC. GRAL'!D32=0," ",'T. TEC. GRAL'!D32)</f>
        <v xml:space="preserve"> </v>
      </c>
      <c r="AG30" s="186" t="str">
        <f>IF('T. TEC. GRAL'!E32=0," ",'T. TEC. GRAL'!E32)</f>
        <v xml:space="preserve"> </v>
      </c>
      <c r="AH30" s="200">
        <f>IF('T. TEC. GRAL'!F32=0," ",'T. TEC. GRAL'!F32)</f>
        <v>25</v>
      </c>
      <c r="AI30" s="201">
        <f>IF('BIO-GEO'!C32=0," ",'BIO-GEO'!C32)</f>
        <v>77</v>
      </c>
      <c r="AJ30" s="181" t="str">
        <f>IF('BIO-GEO'!D32=0," ",'BIO-GEO'!D32)</f>
        <v xml:space="preserve"> </v>
      </c>
      <c r="AK30" s="181" t="str">
        <f>IF('BIO-GEO'!E32=0," ",'BIO-GEO'!E32)</f>
        <v xml:space="preserve"> </v>
      </c>
      <c r="AL30" s="186">
        <f>IF('BIO-GEO'!F32=0," ",'BIO-GEO'!F32)</f>
        <v>26</v>
      </c>
      <c r="AM30" s="199">
        <f>IF(PSI!C32=0," ",PSI!C32)</f>
        <v>71</v>
      </c>
      <c r="AN30" s="181" t="str">
        <f>IF(PSI!D32=0," ",PSI!D32)</f>
        <v xml:space="preserve"> </v>
      </c>
      <c r="AO30" s="181" t="str">
        <f>IF(PSI!E32=0," ",PSI!E32)</f>
        <v xml:space="preserve"> </v>
      </c>
      <c r="AP30" s="181">
        <f>IF(PSI!F32=0," ",PSI!F32)</f>
        <v>24</v>
      </c>
      <c r="AQ30" s="199">
        <f>IF('REL.'!C32=0," ",'REL.'!C32)</f>
        <v>60.833333333333329</v>
      </c>
      <c r="AR30" s="48" t="str">
        <f>IF('REL.'!D32=0," ",'REL.'!D32)</f>
        <v xml:space="preserve"> </v>
      </c>
      <c r="AS30" s="48" t="str">
        <f>IF('REL.'!E32=0," ",'REL.'!E32)</f>
        <v xml:space="preserve"> </v>
      </c>
      <c r="AT30" s="95">
        <f>IF('REL.'!F32=0," ",'REL.'!F32)</f>
        <v>20</v>
      </c>
    </row>
    <row r="31" spans="1:46">
      <c r="A31" s="48">
        <f>NOMINA!A33</f>
        <v>28</v>
      </c>
      <c r="B31" s="85" t="str">
        <f>NOMINA!B33</f>
        <v>ROMAN TITO MATEO</v>
      </c>
      <c r="C31" s="199">
        <f>IF(LEN!C33=0," ",LEN!C33)</f>
        <v>75</v>
      </c>
      <c r="D31" s="181" t="str">
        <f>IF(LEN!D33=0," ",LEN!D33)</f>
        <v xml:space="preserve"> </v>
      </c>
      <c r="E31" s="181" t="str">
        <f>IF(LEN!E33=0," ",LEN!E33)</f>
        <v xml:space="preserve"> </v>
      </c>
      <c r="F31" s="186">
        <f>IF(LEN!F33=0," ",LEN!F33)</f>
        <v>25</v>
      </c>
      <c r="G31" s="199">
        <f>IF(ING!C33=0," ",ING!C33)</f>
        <v>70</v>
      </c>
      <c r="H31" s="181" t="str">
        <f>IF(ING!D33=0," ",ING!D33)</f>
        <v xml:space="preserve"> </v>
      </c>
      <c r="I31" s="181" t="str">
        <f>IF(ING!E33=0," ",ING!E33)</f>
        <v xml:space="preserve"> </v>
      </c>
      <c r="J31" s="200">
        <f>IF(ING!F33=0," ",ING!F33)</f>
        <v>23</v>
      </c>
      <c r="K31" s="201">
        <f>IF('C.SOC'!C33=0," ",'C.SOC'!C33)</f>
        <v>64</v>
      </c>
      <c r="L31" s="181" t="str">
        <f>IF('C.SOC'!D33=0," ",'C.SOC'!D33)</f>
        <v xml:space="preserve"> </v>
      </c>
      <c r="M31" s="181" t="str">
        <f>IF('C.SOC'!E33=0," ",'C.SOC'!E33)</f>
        <v xml:space="preserve"> </v>
      </c>
      <c r="N31" s="186">
        <f>IF('C.SOC'!F33=0," ",'C.SOC'!F33)</f>
        <v>21</v>
      </c>
      <c r="O31" s="199">
        <f>IF('E. FIS.'!C33=0," ",'E. FIS.'!C33)</f>
        <v>79</v>
      </c>
      <c r="P31" s="181" t="str">
        <f>IF('E. FIS.'!D33=0," ",'E. FIS.'!D33)</f>
        <v xml:space="preserve"> </v>
      </c>
      <c r="Q31" s="181" t="str">
        <f>IF('E. FIS.'!E33=0," ",'E. FIS.'!E33)</f>
        <v xml:space="preserve"> </v>
      </c>
      <c r="R31" s="200">
        <f>IF('E. FIS.'!F33=0," ",'E. FIS.'!F33)</f>
        <v>26</v>
      </c>
      <c r="S31" s="201">
        <f>IF(MUS.!C33=0," ",MUS.!C33)</f>
        <v>100</v>
      </c>
      <c r="T31" s="181" t="str">
        <f>IF(MUS.!D33=0," ",MUS.!D33)</f>
        <v xml:space="preserve"> </v>
      </c>
      <c r="U31" s="181" t="str">
        <f>IF(MUS.!E33=0," ",MUS.!E33)</f>
        <v xml:space="preserve"> </v>
      </c>
      <c r="V31" s="186">
        <f>IF(MUS.!F33=0," ",MUS.!F33)</f>
        <v>33</v>
      </c>
      <c r="W31" s="199">
        <f>IF('A.PL. '!C33=0," ",'A.PL. '!C33)</f>
        <v>70</v>
      </c>
      <c r="X31" s="181" t="str">
        <f>IF('A.PL. '!D33=0," ",'A.PL. '!D33)</f>
        <v xml:space="preserve"> </v>
      </c>
      <c r="Y31" s="181" t="str">
        <f>IF('A.PL. '!E33=0," ",'A.PL. '!E33)</f>
        <v xml:space="preserve"> </v>
      </c>
      <c r="Z31" s="200">
        <f>IF('A.PL. '!F33=0," ",'A.PL. '!F33)</f>
        <v>23</v>
      </c>
      <c r="AA31" s="199">
        <f>IF(MAT!C33=0," ",MAT!C33)</f>
        <v>86</v>
      </c>
      <c r="AB31" s="181" t="str">
        <f>IF(MAT!D33=0," ",MAT!D33)</f>
        <v xml:space="preserve"> </v>
      </c>
      <c r="AC31" s="181" t="str">
        <f>IF(MAT!E33=0," ",MAT!E33)</f>
        <v xml:space="preserve"> </v>
      </c>
      <c r="AD31" s="186">
        <f>IF(MAT!F33=0," ",MAT!F33)</f>
        <v>29</v>
      </c>
      <c r="AE31" s="202">
        <f>IF('T. TEC. GRAL'!C33=0," ",'T. TEC. GRAL'!C33)</f>
        <v>82</v>
      </c>
      <c r="AF31" s="186" t="str">
        <f>IF('T. TEC. GRAL'!D33=0," ",'T. TEC. GRAL'!D33)</f>
        <v xml:space="preserve"> </v>
      </c>
      <c r="AG31" s="186" t="str">
        <f>IF('T. TEC. GRAL'!E33=0," ",'T. TEC. GRAL'!E33)</f>
        <v xml:space="preserve"> </v>
      </c>
      <c r="AH31" s="200">
        <f>IF('T. TEC. GRAL'!F33=0," ",'T. TEC. GRAL'!F33)</f>
        <v>27</v>
      </c>
      <c r="AI31" s="201">
        <f>IF('BIO-GEO'!C33=0," ",'BIO-GEO'!C33)</f>
        <v>82</v>
      </c>
      <c r="AJ31" s="181" t="str">
        <f>IF('BIO-GEO'!D33=0," ",'BIO-GEO'!D33)</f>
        <v xml:space="preserve"> </v>
      </c>
      <c r="AK31" s="181" t="str">
        <f>IF('BIO-GEO'!E33=0," ",'BIO-GEO'!E33)</f>
        <v xml:space="preserve"> </v>
      </c>
      <c r="AL31" s="186">
        <f>IF('BIO-GEO'!F33=0," ",'BIO-GEO'!F33)</f>
        <v>27</v>
      </c>
      <c r="AM31" s="199">
        <f>IF(PSI!C33=0," ",PSI!C33)</f>
        <v>83</v>
      </c>
      <c r="AN31" s="181" t="str">
        <f>IF(PSI!D33=0," ",PSI!D33)</f>
        <v xml:space="preserve"> </v>
      </c>
      <c r="AO31" s="181" t="str">
        <f>IF(PSI!E33=0," ",PSI!E33)</f>
        <v xml:space="preserve"> </v>
      </c>
      <c r="AP31" s="181">
        <f>IF(PSI!F33=0," ",PSI!F33)</f>
        <v>28</v>
      </c>
      <c r="AQ31" s="199">
        <f>IF('REL.'!C33=0," ",'REL.'!C33)</f>
        <v>78.833333333333343</v>
      </c>
      <c r="AR31" s="48" t="str">
        <f>IF('REL.'!D33=0," ",'REL.'!D33)</f>
        <v xml:space="preserve"> </v>
      </c>
      <c r="AS31" s="48" t="str">
        <f>IF('REL.'!E33=0," ",'REL.'!E33)</f>
        <v xml:space="preserve"> </v>
      </c>
      <c r="AT31" s="95">
        <f>IF('REL.'!F33=0," ",'REL.'!F33)</f>
        <v>26</v>
      </c>
    </row>
    <row r="32" spans="1:46">
      <c r="A32" s="48">
        <f>NOMINA!A34</f>
        <v>29</v>
      </c>
      <c r="B32" s="85" t="str">
        <f>NOMINA!B34</f>
        <v xml:space="preserve">SILES MAMANI JUSTIN ANGEL </v>
      </c>
      <c r="C32" s="199">
        <f>IF(LEN!C34=0," ",LEN!C34)</f>
        <v>54</v>
      </c>
      <c r="D32" s="181" t="str">
        <f>IF(LEN!D34=0," ",LEN!D34)</f>
        <v xml:space="preserve"> </v>
      </c>
      <c r="E32" s="181" t="str">
        <f>IF(LEN!E34=0," ",LEN!E34)</f>
        <v xml:space="preserve"> </v>
      </c>
      <c r="F32" s="186">
        <f>IF(LEN!F34=0," ",LEN!F34)</f>
        <v>18</v>
      </c>
      <c r="G32" s="199">
        <f>IF(ING!C34=0," ",ING!C34)</f>
        <v>71</v>
      </c>
      <c r="H32" s="181" t="str">
        <f>IF(ING!D34=0," ",ING!D34)</f>
        <v xml:space="preserve"> </v>
      </c>
      <c r="I32" s="181" t="str">
        <f>IF(ING!E34=0," ",ING!E34)</f>
        <v xml:space="preserve"> </v>
      </c>
      <c r="J32" s="200">
        <f>IF(ING!F34=0," ",ING!F34)</f>
        <v>24</v>
      </c>
      <c r="K32" s="201">
        <f>IF('C.SOC'!C34=0," ",'C.SOC'!C34)</f>
        <v>53</v>
      </c>
      <c r="L32" s="181" t="str">
        <f>IF('C.SOC'!D34=0," ",'C.SOC'!D34)</f>
        <v xml:space="preserve"> </v>
      </c>
      <c r="M32" s="181" t="str">
        <f>IF('C.SOC'!E34=0," ",'C.SOC'!E34)</f>
        <v xml:space="preserve"> </v>
      </c>
      <c r="N32" s="186">
        <f>IF('C.SOC'!F34=0," ",'C.SOC'!F34)</f>
        <v>18</v>
      </c>
      <c r="O32" s="199">
        <f>IF('E. FIS.'!C34=0," ",'E. FIS.'!C34)</f>
        <v>67</v>
      </c>
      <c r="P32" s="181" t="str">
        <f>IF('E. FIS.'!D34=0," ",'E. FIS.'!D34)</f>
        <v xml:space="preserve"> </v>
      </c>
      <c r="Q32" s="181" t="str">
        <f>IF('E. FIS.'!E34=0," ",'E. FIS.'!E34)</f>
        <v xml:space="preserve"> </v>
      </c>
      <c r="R32" s="200">
        <f>IF('E. FIS.'!F34=0," ",'E. FIS.'!F34)</f>
        <v>22</v>
      </c>
      <c r="S32" s="201">
        <f>IF(MUS.!C34=0," ",MUS.!C34)</f>
        <v>70</v>
      </c>
      <c r="T32" s="181" t="str">
        <f>IF(MUS.!D34=0," ",MUS.!D34)</f>
        <v xml:space="preserve"> </v>
      </c>
      <c r="U32" s="181" t="str">
        <f>IF(MUS.!E34=0," ",MUS.!E34)</f>
        <v xml:space="preserve"> </v>
      </c>
      <c r="V32" s="186">
        <f>IF(MUS.!F34=0," ",MUS.!F34)</f>
        <v>23</v>
      </c>
      <c r="W32" s="199">
        <f>IF('A.PL. '!C34=0," ",'A.PL. '!C34)</f>
        <v>61</v>
      </c>
      <c r="X32" s="181" t="str">
        <f>IF('A.PL. '!D34=0," ",'A.PL. '!D34)</f>
        <v xml:space="preserve"> </v>
      </c>
      <c r="Y32" s="181" t="str">
        <f>IF('A.PL. '!E34=0," ",'A.PL. '!E34)</f>
        <v xml:space="preserve"> </v>
      </c>
      <c r="Z32" s="200">
        <f>IF('A.PL. '!F34=0," ",'A.PL. '!F34)</f>
        <v>20</v>
      </c>
      <c r="AA32" s="199">
        <f>IF(MAT!C34=0," ",MAT!C34)</f>
        <v>74</v>
      </c>
      <c r="AB32" s="181" t="str">
        <f>IF(MAT!D34=0," ",MAT!D34)</f>
        <v xml:space="preserve"> </v>
      </c>
      <c r="AC32" s="181" t="str">
        <f>IF(MAT!E34=0," ",MAT!E34)</f>
        <v xml:space="preserve"> </v>
      </c>
      <c r="AD32" s="186">
        <f>IF(MAT!F34=0," ",MAT!F34)</f>
        <v>25</v>
      </c>
      <c r="AE32" s="202">
        <f>IF('T. TEC. GRAL'!C34=0," ",'T. TEC. GRAL'!C34)</f>
        <v>67</v>
      </c>
      <c r="AF32" s="186" t="str">
        <f>IF('T. TEC. GRAL'!D34=0," ",'T. TEC. GRAL'!D34)</f>
        <v xml:space="preserve"> </v>
      </c>
      <c r="AG32" s="186" t="str">
        <f>IF('T. TEC. GRAL'!E34=0," ",'T. TEC. GRAL'!E34)</f>
        <v xml:space="preserve"> </v>
      </c>
      <c r="AH32" s="200">
        <f>IF('T. TEC. GRAL'!F34=0," ",'T. TEC. GRAL'!F34)</f>
        <v>22</v>
      </c>
      <c r="AI32" s="201">
        <f>IF('BIO-GEO'!C34=0," ",'BIO-GEO'!C34)</f>
        <v>80</v>
      </c>
      <c r="AJ32" s="181" t="str">
        <f>IF('BIO-GEO'!D34=0," ",'BIO-GEO'!D34)</f>
        <v xml:space="preserve"> </v>
      </c>
      <c r="AK32" s="181" t="str">
        <f>IF('BIO-GEO'!E34=0," ",'BIO-GEO'!E34)</f>
        <v xml:space="preserve"> </v>
      </c>
      <c r="AL32" s="186">
        <f>IF('BIO-GEO'!F34=0," ",'BIO-GEO'!F34)</f>
        <v>27</v>
      </c>
      <c r="AM32" s="199">
        <f>IF(PSI!C34=0," ",PSI!C34)</f>
        <v>68</v>
      </c>
      <c r="AN32" s="181" t="str">
        <f>IF(PSI!D34=0," ",PSI!D34)</f>
        <v xml:space="preserve"> </v>
      </c>
      <c r="AO32" s="181" t="str">
        <f>IF(PSI!E34=0," ",PSI!E34)</f>
        <v xml:space="preserve"> </v>
      </c>
      <c r="AP32" s="181">
        <f>IF(PSI!F34=0," ",PSI!F34)</f>
        <v>23</v>
      </c>
      <c r="AQ32" s="199">
        <f>IF('REL.'!C34=0," ",'REL.'!C34)</f>
        <v>62.333333333333329</v>
      </c>
      <c r="AR32" s="48" t="str">
        <f>IF('REL.'!D34=0," ",'REL.'!D34)</f>
        <v xml:space="preserve"> </v>
      </c>
      <c r="AS32" s="48" t="str">
        <f>IF('REL.'!E34=0," ",'REL.'!E34)</f>
        <v xml:space="preserve"> </v>
      </c>
      <c r="AT32" s="95">
        <f>IF('REL.'!F34=0," ",'REL.'!F34)</f>
        <v>21</v>
      </c>
    </row>
    <row r="33" spans="1:46">
      <c r="A33" s="48">
        <f>NOMINA!A35</f>
        <v>30</v>
      </c>
      <c r="B33" s="85" t="str">
        <f>NOMINA!B35</f>
        <v>TERAN COCA DIEGO NICOLAS</v>
      </c>
      <c r="C33" s="199">
        <f>IF(LEN!C35=0," ",LEN!C35)</f>
        <v>60</v>
      </c>
      <c r="D33" s="181" t="str">
        <f>IF(LEN!D35=0," ",LEN!D35)</f>
        <v xml:space="preserve"> </v>
      </c>
      <c r="E33" s="181" t="str">
        <f>IF(LEN!E35=0," ",LEN!E35)</f>
        <v xml:space="preserve"> </v>
      </c>
      <c r="F33" s="186">
        <f>IF(LEN!F35=0," ",LEN!F35)</f>
        <v>20</v>
      </c>
      <c r="G33" s="199">
        <f>IF(ING!C35=0," ",ING!C35)</f>
        <v>67</v>
      </c>
      <c r="H33" s="181" t="str">
        <f>IF(ING!D35=0," ",ING!D35)</f>
        <v xml:space="preserve"> </v>
      </c>
      <c r="I33" s="181" t="str">
        <f>IF(ING!E35=0," ",ING!E35)</f>
        <v xml:space="preserve"> </v>
      </c>
      <c r="J33" s="200">
        <f>IF(ING!F35=0," ",ING!F35)</f>
        <v>22</v>
      </c>
      <c r="K33" s="201">
        <f>IF('C.SOC'!C35=0," ",'C.SOC'!C35)</f>
        <v>51</v>
      </c>
      <c r="L33" s="181" t="str">
        <f>IF('C.SOC'!D35=0," ",'C.SOC'!D35)</f>
        <v xml:space="preserve"> </v>
      </c>
      <c r="M33" s="181" t="str">
        <f>IF('C.SOC'!E35=0," ",'C.SOC'!E35)</f>
        <v xml:space="preserve"> </v>
      </c>
      <c r="N33" s="186">
        <f>IF('C.SOC'!F35=0," ",'C.SOC'!F35)</f>
        <v>17</v>
      </c>
      <c r="O33" s="199">
        <f>IF('E. FIS.'!C35=0," ",'E. FIS.'!C35)</f>
        <v>67</v>
      </c>
      <c r="P33" s="181" t="str">
        <f>IF('E. FIS.'!D35=0," ",'E. FIS.'!D35)</f>
        <v xml:space="preserve"> </v>
      </c>
      <c r="Q33" s="181" t="str">
        <f>IF('E. FIS.'!E35=0," ",'E. FIS.'!E35)</f>
        <v xml:space="preserve"> </v>
      </c>
      <c r="R33" s="200">
        <f>IF('E. FIS.'!F35=0," ",'E. FIS.'!F35)</f>
        <v>22</v>
      </c>
      <c r="S33" s="201">
        <f>IF(MUS.!C35=0," ",MUS.!C35)</f>
        <v>71</v>
      </c>
      <c r="T33" s="181" t="str">
        <f>IF(MUS.!D35=0," ",MUS.!D35)</f>
        <v xml:space="preserve"> </v>
      </c>
      <c r="U33" s="181" t="str">
        <f>IF(MUS.!E35=0," ",MUS.!E35)</f>
        <v xml:space="preserve"> </v>
      </c>
      <c r="V33" s="186">
        <f>IF(MUS.!F35=0," ",MUS.!F35)</f>
        <v>24</v>
      </c>
      <c r="W33" s="199">
        <f>IF('A.PL. '!C35=0," ",'A.PL. '!C35)</f>
        <v>59</v>
      </c>
      <c r="X33" s="181" t="str">
        <f>IF('A.PL. '!D35=0," ",'A.PL. '!D35)</f>
        <v xml:space="preserve"> </v>
      </c>
      <c r="Y33" s="181" t="str">
        <f>IF('A.PL. '!E35=0," ",'A.PL. '!E35)</f>
        <v xml:space="preserve"> </v>
      </c>
      <c r="Z33" s="200">
        <f>IF('A.PL. '!F35=0," ",'A.PL. '!F35)</f>
        <v>20</v>
      </c>
      <c r="AA33" s="199">
        <f>IF(MAT!C35=0," ",MAT!C35)</f>
        <v>71</v>
      </c>
      <c r="AB33" s="181" t="str">
        <f>IF(MAT!D35=0," ",MAT!D35)</f>
        <v xml:space="preserve"> </v>
      </c>
      <c r="AC33" s="181" t="str">
        <f>IF(MAT!E35=0," ",MAT!E35)</f>
        <v xml:space="preserve"> </v>
      </c>
      <c r="AD33" s="186">
        <f>IF(MAT!F35=0," ",MAT!F35)</f>
        <v>24</v>
      </c>
      <c r="AE33" s="202">
        <f>IF('T. TEC. GRAL'!C35=0," ",'T. TEC. GRAL'!C35)</f>
        <v>58</v>
      </c>
      <c r="AF33" s="186" t="str">
        <f>IF('T. TEC. GRAL'!D35=0," ",'T. TEC. GRAL'!D35)</f>
        <v xml:space="preserve"> </v>
      </c>
      <c r="AG33" s="186" t="str">
        <f>IF('T. TEC. GRAL'!E35=0," ",'T. TEC. GRAL'!E35)</f>
        <v xml:space="preserve"> </v>
      </c>
      <c r="AH33" s="200">
        <f>IF('T. TEC. GRAL'!F35=0," ",'T. TEC. GRAL'!F35)</f>
        <v>19</v>
      </c>
      <c r="AI33" s="201">
        <f>IF('BIO-GEO'!C35=0," ",'BIO-GEO'!C35)</f>
        <v>68</v>
      </c>
      <c r="AJ33" s="181" t="str">
        <f>IF('BIO-GEO'!D35=0," ",'BIO-GEO'!D35)</f>
        <v xml:space="preserve"> </v>
      </c>
      <c r="AK33" s="181" t="str">
        <f>IF('BIO-GEO'!E35=0," ",'BIO-GEO'!E35)</f>
        <v xml:space="preserve"> </v>
      </c>
      <c r="AL33" s="186">
        <f>IF('BIO-GEO'!F35=0," ",'BIO-GEO'!F35)</f>
        <v>23</v>
      </c>
      <c r="AM33" s="199">
        <f>IF(PSI!C35=0," ",PSI!C35)</f>
        <v>75</v>
      </c>
      <c r="AN33" s="181" t="str">
        <f>IF(PSI!D35=0," ",PSI!D35)</f>
        <v xml:space="preserve"> </v>
      </c>
      <c r="AO33" s="181" t="str">
        <f>IF(PSI!E35=0," ",PSI!E35)</f>
        <v xml:space="preserve"> </v>
      </c>
      <c r="AP33" s="181">
        <f>IF(PSI!F35=0," ",PSI!F35)</f>
        <v>25</v>
      </c>
      <c r="AQ33" s="199">
        <f>IF('REL.'!C35=0," ",'REL.'!C35)</f>
        <v>68.666666666666657</v>
      </c>
      <c r="AR33" s="48" t="str">
        <f>IF('REL.'!D35=0," ",'REL.'!D35)</f>
        <v xml:space="preserve"> </v>
      </c>
      <c r="AS33" s="48" t="str">
        <f>IF('REL.'!E35=0," ",'REL.'!E35)</f>
        <v xml:space="preserve"> </v>
      </c>
      <c r="AT33" s="95">
        <f>IF('REL.'!F35=0," ",'REL.'!F35)</f>
        <v>23</v>
      </c>
    </row>
    <row r="34" spans="1:46">
      <c r="A34" s="48">
        <f>NOMINA!A36</f>
        <v>31</v>
      </c>
      <c r="B34" s="85" t="str">
        <f>NOMINA!B36</f>
        <v>URIA LOPEZ SEBASTIAN ARIEL</v>
      </c>
      <c r="C34" s="199">
        <f>IF(LEN!C36=0," ",LEN!C36)</f>
        <v>51</v>
      </c>
      <c r="D34" s="181" t="str">
        <f>IF(LEN!D36=0," ",LEN!D36)</f>
        <v xml:space="preserve"> </v>
      </c>
      <c r="E34" s="181" t="str">
        <f>IF(LEN!E36=0," ",LEN!E36)</f>
        <v xml:space="preserve"> </v>
      </c>
      <c r="F34" s="186">
        <f>IF(LEN!F36=0," ",LEN!F36)</f>
        <v>17</v>
      </c>
      <c r="G34" s="199">
        <f>IF(ING!C36=0," ",ING!C36)</f>
        <v>52</v>
      </c>
      <c r="H34" s="181" t="str">
        <f>IF(ING!D36=0," ",ING!D36)</f>
        <v xml:space="preserve"> </v>
      </c>
      <c r="I34" s="181" t="str">
        <f>IF(ING!E36=0," ",ING!E36)</f>
        <v xml:space="preserve"> </v>
      </c>
      <c r="J34" s="200">
        <f>IF(ING!F36=0," ",ING!F36)</f>
        <v>17</v>
      </c>
      <c r="K34" s="201">
        <f>IF('C.SOC'!C36=0," ",'C.SOC'!C36)</f>
        <v>51</v>
      </c>
      <c r="L34" s="181" t="str">
        <f>IF('C.SOC'!D36=0," ",'C.SOC'!D36)</f>
        <v xml:space="preserve"> </v>
      </c>
      <c r="M34" s="181" t="str">
        <f>IF('C.SOC'!E36=0," ",'C.SOC'!E36)</f>
        <v xml:space="preserve"> </v>
      </c>
      <c r="N34" s="186">
        <f>IF('C.SOC'!F36=0," ",'C.SOC'!F36)</f>
        <v>17</v>
      </c>
      <c r="O34" s="199">
        <f>IF('E. FIS.'!C36=0," ",'E. FIS.'!C36)</f>
        <v>80</v>
      </c>
      <c r="P34" s="181" t="str">
        <f>IF('E. FIS.'!D36=0," ",'E. FIS.'!D36)</f>
        <v xml:space="preserve"> </v>
      </c>
      <c r="Q34" s="181" t="str">
        <f>IF('E. FIS.'!E36=0," ",'E. FIS.'!E36)</f>
        <v xml:space="preserve"> </v>
      </c>
      <c r="R34" s="200">
        <f>IF('E. FIS.'!F36=0," ",'E. FIS.'!F36)</f>
        <v>27</v>
      </c>
      <c r="S34" s="201">
        <f>IF(MUS.!C36=0," ",MUS.!C36)</f>
        <v>72</v>
      </c>
      <c r="T34" s="181" t="str">
        <f>IF(MUS.!D36=0," ",MUS.!D36)</f>
        <v xml:space="preserve"> </v>
      </c>
      <c r="U34" s="181" t="str">
        <f>IF(MUS.!E36=0," ",MUS.!E36)</f>
        <v xml:space="preserve"> </v>
      </c>
      <c r="V34" s="186">
        <f>IF(MUS.!F36=0," ",MUS.!F36)</f>
        <v>24</v>
      </c>
      <c r="W34" s="199">
        <f>IF('A.PL. '!C36=0," ",'A.PL. '!C36)</f>
        <v>67</v>
      </c>
      <c r="X34" s="181" t="str">
        <f>IF('A.PL. '!D36=0," ",'A.PL. '!D36)</f>
        <v xml:space="preserve"> </v>
      </c>
      <c r="Y34" s="181" t="str">
        <f>IF('A.PL. '!E36=0," ",'A.PL. '!E36)</f>
        <v xml:space="preserve"> </v>
      </c>
      <c r="Z34" s="200">
        <f>IF('A.PL. '!F36=0," ",'A.PL. '!F36)</f>
        <v>22</v>
      </c>
      <c r="AA34" s="199">
        <f>IF(MAT!C36=0," ",MAT!C36)</f>
        <v>64</v>
      </c>
      <c r="AB34" s="181" t="str">
        <f>IF(MAT!D36=0," ",MAT!D36)</f>
        <v xml:space="preserve"> </v>
      </c>
      <c r="AC34" s="181" t="str">
        <f>IF(MAT!E36=0," ",MAT!E36)</f>
        <v xml:space="preserve"> </v>
      </c>
      <c r="AD34" s="186">
        <f>IF(MAT!F36=0," ",MAT!F36)</f>
        <v>21</v>
      </c>
      <c r="AE34" s="202">
        <f>IF('T. TEC. GRAL'!C36=0," ",'T. TEC. GRAL'!C36)</f>
        <v>60</v>
      </c>
      <c r="AF34" s="186" t="str">
        <f>IF('T. TEC. GRAL'!D36=0," ",'T. TEC. GRAL'!D36)</f>
        <v xml:space="preserve"> </v>
      </c>
      <c r="AG34" s="186" t="str">
        <f>IF('T. TEC. GRAL'!E36=0," ",'T. TEC. GRAL'!E36)</f>
        <v xml:space="preserve"> </v>
      </c>
      <c r="AH34" s="200">
        <f>IF('T. TEC. GRAL'!F36=0," ",'T. TEC. GRAL'!F36)</f>
        <v>20</v>
      </c>
      <c r="AI34" s="201">
        <f>IF('BIO-GEO'!C36=0," ",'BIO-GEO'!C36)</f>
        <v>77</v>
      </c>
      <c r="AJ34" s="181" t="str">
        <f>IF('BIO-GEO'!D36=0," ",'BIO-GEO'!D36)</f>
        <v xml:space="preserve"> </v>
      </c>
      <c r="AK34" s="181" t="str">
        <f>IF('BIO-GEO'!E36=0," ",'BIO-GEO'!E36)</f>
        <v xml:space="preserve"> </v>
      </c>
      <c r="AL34" s="186">
        <f>IF('BIO-GEO'!F36=0," ",'BIO-GEO'!F36)</f>
        <v>26</v>
      </c>
      <c r="AM34" s="199">
        <f>IF(PSI!C36=0," ",PSI!C36)</f>
        <v>76</v>
      </c>
      <c r="AN34" s="181" t="str">
        <f>IF(PSI!D36=0," ",PSI!D36)</f>
        <v xml:space="preserve"> </v>
      </c>
      <c r="AO34" s="181" t="str">
        <f>IF(PSI!E36=0," ",PSI!E36)</f>
        <v xml:space="preserve"> </v>
      </c>
      <c r="AP34" s="181">
        <f>IF(PSI!F36=0," ",PSI!F36)</f>
        <v>25</v>
      </c>
      <c r="AQ34" s="199">
        <f>IF('REL.'!C36=0," ",'REL.'!C36)</f>
        <v>62.166666666666671</v>
      </c>
      <c r="AR34" s="48" t="str">
        <f>IF('REL.'!D36=0," ",'REL.'!D36)</f>
        <v xml:space="preserve"> </v>
      </c>
      <c r="AS34" s="48" t="str">
        <f>IF('REL.'!E36=0," ",'REL.'!E36)</f>
        <v xml:space="preserve"> </v>
      </c>
      <c r="AT34" s="95">
        <f>IF('REL.'!F36=0," ",'REL.'!F36)</f>
        <v>21</v>
      </c>
    </row>
    <row r="35" spans="1:46">
      <c r="A35" s="48">
        <f>NOMINA!A37</f>
        <v>32</v>
      </c>
      <c r="B35" s="85" t="str">
        <f>NOMINA!B37</f>
        <v>VASQUEZ ESPINOZA JHONATAN YAYCOB</v>
      </c>
      <c r="C35" s="199">
        <f>IF(LEN!C37=0," ",LEN!C37)</f>
        <v>58</v>
      </c>
      <c r="D35" s="181" t="str">
        <f>IF(LEN!D37=0," ",LEN!D37)</f>
        <v xml:space="preserve"> </v>
      </c>
      <c r="E35" s="181" t="str">
        <f>IF(LEN!E37=0," ",LEN!E37)</f>
        <v xml:space="preserve"> </v>
      </c>
      <c r="F35" s="186">
        <f>IF(LEN!F37=0," ",LEN!F37)</f>
        <v>19</v>
      </c>
      <c r="G35" s="199">
        <f>IF(ING!C37=0," ",ING!C37)</f>
        <v>52</v>
      </c>
      <c r="H35" s="181" t="str">
        <f>IF(ING!D37=0," ",ING!D37)</f>
        <v xml:space="preserve"> </v>
      </c>
      <c r="I35" s="181" t="str">
        <f>IF(ING!E37=0," ",ING!E37)</f>
        <v xml:space="preserve"> </v>
      </c>
      <c r="J35" s="200">
        <f>IF(ING!F37=0," ",ING!F37)</f>
        <v>17</v>
      </c>
      <c r="K35" s="201">
        <f>IF('C.SOC'!C37=0," ",'C.SOC'!C37)</f>
        <v>61</v>
      </c>
      <c r="L35" s="181" t="str">
        <f>IF('C.SOC'!D37=0," ",'C.SOC'!D37)</f>
        <v xml:space="preserve"> </v>
      </c>
      <c r="M35" s="181" t="str">
        <f>IF('C.SOC'!E37=0," ",'C.SOC'!E37)</f>
        <v xml:space="preserve"> </v>
      </c>
      <c r="N35" s="186">
        <f>IF('C.SOC'!F37=0," ",'C.SOC'!F37)</f>
        <v>20</v>
      </c>
      <c r="O35" s="199">
        <f>IF('E. FIS.'!C37=0," ",'E. FIS.'!C37)</f>
        <v>70</v>
      </c>
      <c r="P35" s="181" t="str">
        <f>IF('E. FIS.'!D37=0," ",'E. FIS.'!D37)</f>
        <v xml:space="preserve"> </v>
      </c>
      <c r="Q35" s="181" t="str">
        <f>IF('E. FIS.'!E37=0," ",'E. FIS.'!E37)</f>
        <v xml:space="preserve"> </v>
      </c>
      <c r="R35" s="200">
        <f>IF('E. FIS.'!F37=0," ",'E. FIS.'!F37)</f>
        <v>23</v>
      </c>
      <c r="S35" s="201">
        <f>IF(MUS.!C37=0," ",MUS.!C37)</f>
        <v>76</v>
      </c>
      <c r="T35" s="181" t="str">
        <f>IF(MUS.!D37=0," ",MUS.!D37)</f>
        <v xml:space="preserve"> </v>
      </c>
      <c r="U35" s="181" t="str">
        <f>IF(MUS.!E37=0," ",MUS.!E37)</f>
        <v xml:space="preserve"> </v>
      </c>
      <c r="V35" s="186">
        <f>IF(MUS.!F37=0," ",MUS.!F37)</f>
        <v>25</v>
      </c>
      <c r="W35" s="199">
        <f>IF('A.PL. '!C37=0," ",'A.PL. '!C37)</f>
        <v>71</v>
      </c>
      <c r="X35" s="181" t="str">
        <f>IF('A.PL. '!D37=0," ",'A.PL. '!D37)</f>
        <v xml:space="preserve"> </v>
      </c>
      <c r="Y35" s="181" t="str">
        <f>IF('A.PL. '!E37=0," ",'A.PL. '!E37)</f>
        <v xml:space="preserve"> </v>
      </c>
      <c r="Z35" s="200">
        <f>IF('A.PL. '!F37=0," ",'A.PL. '!F37)</f>
        <v>24</v>
      </c>
      <c r="AA35" s="199">
        <f>IF(MAT!C37=0," ",MAT!C37)</f>
        <v>68</v>
      </c>
      <c r="AB35" s="181" t="str">
        <f>IF(MAT!D37=0," ",MAT!D37)</f>
        <v xml:space="preserve"> </v>
      </c>
      <c r="AC35" s="181" t="str">
        <f>IF(MAT!E37=0," ",MAT!E37)</f>
        <v xml:space="preserve"> </v>
      </c>
      <c r="AD35" s="186">
        <f>IF(MAT!F37=0," ",MAT!F37)</f>
        <v>23</v>
      </c>
      <c r="AE35" s="202">
        <f>IF('T. TEC. GRAL'!C37=0," ",'T. TEC. GRAL'!C37)</f>
        <v>78</v>
      </c>
      <c r="AF35" s="186" t="str">
        <f>IF('T. TEC. GRAL'!D37=0," ",'T. TEC. GRAL'!D37)</f>
        <v xml:space="preserve"> </v>
      </c>
      <c r="AG35" s="186" t="str">
        <f>IF('T. TEC. GRAL'!E37=0," ",'T. TEC. GRAL'!E37)</f>
        <v xml:space="preserve"> </v>
      </c>
      <c r="AH35" s="200">
        <f>IF('T. TEC. GRAL'!F37=0," ",'T. TEC. GRAL'!F37)</f>
        <v>26</v>
      </c>
      <c r="AI35" s="201">
        <f>IF('BIO-GEO'!C37=0," ",'BIO-GEO'!C37)</f>
        <v>62</v>
      </c>
      <c r="AJ35" s="181" t="str">
        <f>IF('BIO-GEO'!D37=0," ",'BIO-GEO'!D37)</f>
        <v xml:space="preserve"> </v>
      </c>
      <c r="AK35" s="181" t="str">
        <f>IF('BIO-GEO'!E37=0," ",'BIO-GEO'!E37)</f>
        <v xml:space="preserve"> </v>
      </c>
      <c r="AL35" s="186">
        <f>IF('BIO-GEO'!F37=0," ",'BIO-GEO'!F37)</f>
        <v>21</v>
      </c>
      <c r="AM35" s="199">
        <f>IF(PSI!C37=0," ",PSI!C37)</f>
        <v>55</v>
      </c>
      <c r="AN35" s="181" t="str">
        <f>IF(PSI!D37=0," ",PSI!D37)</f>
        <v xml:space="preserve"> </v>
      </c>
      <c r="AO35" s="181" t="str">
        <f>IF(PSI!E37=0," ",PSI!E37)</f>
        <v xml:space="preserve"> </v>
      </c>
      <c r="AP35" s="181">
        <f>IF(PSI!F37=0," ",PSI!F37)</f>
        <v>18</v>
      </c>
      <c r="AQ35" s="199">
        <f>IF('REL.'!C37=0," ",'REL.'!C37)</f>
        <v>64</v>
      </c>
      <c r="AR35" s="48" t="str">
        <f>IF('REL.'!D37=0," ",'REL.'!D37)</f>
        <v xml:space="preserve"> </v>
      </c>
      <c r="AS35" s="48" t="str">
        <f>IF('REL.'!E37=0," ",'REL.'!E37)</f>
        <v xml:space="preserve"> </v>
      </c>
      <c r="AT35" s="95">
        <f>IF('REL.'!F37=0," ",'REL.'!F37)</f>
        <v>21</v>
      </c>
    </row>
    <row r="36" spans="1:46">
      <c r="A36" s="48">
        <f>NOMINA!A38</f>
        <v>33</v>
      </c>
      <c r="B36" s="85" t="str">
        <f>NOMINA!B38</f>
        <v>VEIZAGA LEDEZMA SEBASTIAN</v>
      </c>
      <c r="C36" s="199">
        <f>IF(LEN!C38=0," ",LEN!C38)</f>
        <v>67</v>
      </c>
      <c r="D36" s="181" t="str">
        <f>IF(LEN!D38=0," ",LEN!D38)</f>
        <v xml:space="preserve"> </v>
      </c>
      <c r="E36" s="181" t="str">
        <f>IF(LEN!E38=0," ",LEN!E38)</f>
        <v xml:space="preserve"> </v>
      </c>
      <c r="F36" s="186">
        <f>IF(LEN!F38=0," ",LEN!F38)</f>
        <v>22</v>
      </c>
      <c r="G36" s="199">
        <f>IF(ING!C38=0," ",ING!C38)</f>
        <v>68</v>
      </c>
      <c r="H36" s="181" t="str">
        <f>IF(ING!D38=0," ",ING!D38)</f>
        <v xml:space="preserve"> </v>
      </c>
      <c r="I36" s="181" t="str">
        <f>IF(ING!E38=0," ",ING!E38)</f>
        <v xml:space="preserve"> </v>
      </c>
      <c r="J36" s="200">
        <f>IF(ING!F38=0," ",ING!F38)</f>
        <v>23</v>
      </c>
      <c r="K36" s="201">
        <f>IF('C.SOC'!C38=0," ",'C.SOC'!C38)</f>
        <v>54</v>
      </c>
      <c r="L36" s="181" t="str">
        <f>IF('C.SOC'!D38=0," ",'C.SOC'!D38)</f>
        <v xml:space="preserve"> </v>
      </c>
      <c r="M36" s="181" t="str">
        <f>IF('C.SOC'!E38=0," ",'C.SOC'!E38)</f>
        <v xml:space="preserve"> </v>
      </c>
      <c r="N36" s="186">
        <f>IF('C.SOC'!F38=0," ",'C.SOC'!F38)</f>
        <v>18</v>
      </c>
      <c r="O36" s="199">
        <f>IF('E. FIS.'!C38=0," ",'E. FIS.'!C38)</f>
        <v>69</v>
      </c>
      <c r="P36" s="181" t="str">
        <f>IF('E. FIS.'!D38=0," ",'E. FIS.'!D38)</f>
        <v xml:space="preserve"> </v>
      </c>
      <c r="Q36" s="181" t="str">
        <f>IF('E. FIS.'!E38=0," ",'E. FIS.'!E38)</f>
        <v xml:space="preserve"> </v>
      </c>
      <c r="R36" s="200">
        <f>IF('E. FIS.'!F38=0," ",'E. FIS.'!F38)</f>
        <v>23</v>
      </c>
      <c r="S36" s="201">
        <f>IF(MUS.!C38=0," ",MUS.!C38)</f>
        <v>87</v>
      </c>
      <c r="T36" s="181" t="str">
        <f>IF(MUS.!D38=0," ",MUS.!D38)</f>
        <v xml:space="preserve"> </v>
      </c>
      <c r="U36" s="181" t="str">
        <f>IF(MUS.!E38=0," ",MUS.!E38)</f>
        <v xml:space="preserve"> </v>
      </c>
      <c r="V36" s="186">
        <f>IF(MUS.!F38=0," ",MUS.!F38)</f>
        <v>29</v>
      </c>
      <c r="W36" s="199">
        <f>IF('A.PL. '!C38=0," ",'A.PL. '!C38)</f>
        <v>59</v>
      </c>
      <c r="X36" s="181" t="str">
        <f>IF('A.PL. '!D38=0," ",'A.PL. '!D38)</f>
        <v xml:space="preserve"> </v>
      </c>
      <c r="Y36" s="181" t="str">
        <f>IF('A.PL. '!E38=0," ",'A.PL. '!E38)</f>
        <v xml:space="preserve"> </v>
      </c>
      <c r="Z36" s="200">
        <f>IF('A.PL. '!F38=0," ",'A.PL. '!F38)</f>
        <v>20</v>
      </c>
      <c r="AA36" s="199">
        <f>IF(MAT!C38=0," ",MAT!C38)</f>
        <v>72</v>
      </c>
      <c r="AB36" s="181" t="str">
        <f>IF(MAT!D38=0," ",MAT!D38)</f>
        <v xml:space="preserve"> </v>
      </c>
      <c r="AC36" s="181" t="str">
        <f>IF(MAT!E38=0," ",MAT!E38)</f>
        <v xml:space="preserve"> </v>
      </c>
      <c r="AD36" s="186">
        <f>IF(MAT!F38=0," ",MAT!F38)</f>
        <v>24</v>
      </c>
      <c r="AE36" s="202">
        <f>IF('T. TEC. GRAL'!C38=0," ",'T. TEC. GRAL'!C38)</f>
        <v>65</v>
      </c>
      <c r="AF36" s="186" t="str">
        <f>IF('T. TEC. GRAL'!D38=0," ",'T. TEC. GRAL'!D38)</f>
        <v xml:space="preserve"> </v>
      </c>
      <c r="AG36" s="186" t="str">
        <f>IF('T. TEC. GRAL'!E38=0," ",'T. TEC. GRAL'!E38)</f>
        <v xml:space="preserve"> </v>
      </c>
      <c r="AH36" s="200">
        <f>IF('T. TEC. GRAL'!F38=0," ",'T. TEC. GRAL'!F38)</f>
        <v>22</v>
      </c>
      <c r="AI36" s="201">
        <f>IF('BIO-GEO'!C38=0," ",'BIO-GEO'!C38)</f>
        <v>81</v>
      </c>
      <c r="AJ36" s="181" t="str">
        <f>IF('BIO-GEO'!D38=0," ",'BIO-GEO'!D38)</f>
        <v xml:space="preserve"> </v>
      </c>
      <c r="AK36" s="181" t="str">
        <f>IF('BIO-GEO'!E38=0," ",'BIO-GEO'!E38)</f>
        <v xml:space="preserve"> </v>
      </c>
      <c r="AL36" s="186">
        <f>IF('BIO-GEO'!F38=0," ",'BIO-GEO'!F38)</f>
        <v>27</v>
      </c>
      <c r="AM36" s="199">
        <f>IF(PSI!C38=0," ",PSI!C38)</f>
        <v>77</v>
      </c>
      <c r="AN36" s="181" t="str">
        <f>IF(PSI!D38=0," ",PSI!D38)</f>
        <v xml:space="preserve"> </v>
      </c>
      <c r="AO36" s="181" t="str">
        <f>IF(PSI!E38=0," ",PSI!E38)</f>
        <v xml:space="preserve"> </v>
      </c>
      <c r="AP36" s="181">
        <f>IF(PSI!F38=0," ",PSI!F38)</f>
        <v>26</v>
      </c>
      <c r="AQ36" s="199">
        <f>IF('REL.'!C38=0," ",'REL.'!C38)</f>
        <v>66.583333333333329</v>
      </c>
      <c r="AR36" s="48" t="str">
        <f>IF('REL.'!D38=0," ",'REL.'!D38)</f>
        <v xml:space="preserve"> </v>
      </c>
      <c r="AS36" s="48" t="str">
        <f>IF('REL.'!E38=0," ",'REL.'!E38)</f>
        <v xml:space="preserve"> </v>
      </c>
      <c r="AT36" s="95">
        <f>IF('REL.'!F38=0," ",'REL.'!F38)</f>
        <v>22</v>
      </c>
    </row>
    <row r="37" spans="1:46">
      <c r="A37" s="48">
        <f>NOMINA!A39</f>
        <v>34</v>
      </c>
      <c r="B37" s="85" t="str">
        <f>NOMINA!B39</f>
        <v>VILLARROEL CUCHILLO HUGO SEBASTIAN</v>
      </c>
      <c r="C37" s="199">
        <f>IF(LEN!C39=0," ",LEN!C39)</f>
        <v>51</v>
      </c>
      <c r="D37" s="181" t="str">
        <f>IF(LEN!D39=0," ",LEN!D39)</f>
        <v xml:space="preserve"> </v>
      </c>
      <c r="E37" s="181" t="str">
        <f>IF(LEN!E39=0," ",LEN!E39)</f>
        <v xml:space="preserve"> </v>
      </c>
      <c r="F37" s="186">
        <f>IF(LEN!F39=0," ",LEN!F39)</f>
        <v>17</v>
      </c>
      <c r="G37" s="199">
        <f>IF(ING!C39=0," ",ING!C39)</f>
        <v>55</v>
      </c>
      <c r="H37" s="181" t="str">
        <f>IF(ING!D39=0," ",ING!D39)</f>
        <v xml:space="preserve"> </v>
      </c>
      <c r="I37" s="181" t="str">
        <f>IF(ING!E39=0," ",ING!E39)</f>
        <v xml:space="preserve"> </v>
      </c>
      <c r="J37" s="200">
        <f>IF(ING!F39=0," ",ING!F39)</f>
        <v>18</v>
      </c>
      <c r="K37" s="201">
        <f>IF('C.SOC'!C39=0," ",'C.SOC'!C39)</f>
        <v>55</v>
      </c>
      <c r="L37" s="181" t="str">
        <f>IF('C.SOC'!D39=0," ",'C.SOC'!D39)</f>
        <v xml:space="preserve"> </v>
      </c>
      <c r="M37" s="181" t="str">
        <f>IF('C.SOC'!E39=0," ",'C.SOC'!E39)</f>
        <v xml:space="preserve"> </v>
      </c>
      <c r="N37" s="186">
        <f>IF('C.SOC'!F39=0," ",'C.SOC'!F39)</f>
        <v>18</v>
      </c>
      <c r="O37" s="199">
        <f>IF('E. FIS.'!C39=0," ",'E. FIS.'!C39)</f>
        <v>66</v>
      </c>
      <c r="P37" s="181" t="str">
        <f>IF('E. FIS.'!D39=0," ",'E. FIS.'!D39)</f>
        <v xml:space="preserve"> </v>
      </c>
      <c r="Q37" s="181" t="str">
        <f>IF('E. FIS.'!E39=0," ",'E. FIS.'!E39)</f>
        <v xml:space="preserve"> </v>
      </c>
      <c r="R37" s="200">
        <f>IF('E. FIS.'!F39=0," ",'E. FIS.'!F39)</f>
        <v>22</v>
      </c>
      <c r="S37" s="201">
        <f>IF(MUS.!C39=0," ",MUS.!C39)</f>
        <v>63</v>
      </c>
      <c r="T37" s="181" t="str">
        <f>IF(MUS.!D39=0," ",MUS.!D39)</f>
        <v xml:space="preserve"> </v>
      </c>
      <c r="U37" s="181" t="str">
        <f>IF(MUS.!E39=0," ",MUS.!E39)</f>
        <v xml:space="preserve"> </v>
      </c>
      <c r="V37" s="186">
        <f>IF(MUS.!F39=0," ",MUS.!F39)</f>
        <v>21</v>
      </c>
      <c r="W37" s="199">
        <f>IF('A.PL. '!C39=0," ",'A.PL. '!C39)</f>
        <v>59</v>
      </c>
      <c r="X37" s="181" t="str">
        <f>IF('A.PL. '!D39=0," ",'A.PL. '!D39)</f>
        <v xml:space="preserve"> </v>
      </c>
      <c r="Y37" s="181" t="str">
        <f>IF('A.PL. '!E39=0," ",'A.PL. '!E39)</f>
        <v xml:space="preserve"> </v>
      </c>
      <c r="Z37" s="200">
        <f>IF('A.PL. '!F39=0," ",'A.PL. '!F39)</f>
        <v>20</v>
      </c>
      <c r="AA37" s="199">
        <f>IF(MAT!C39=0," ",MAT!C39)</f>
        <v>49</v>
      </c>
      <c r="AB37" s="181" t="str">
        <f>IF(MAT!D39=0," ",MAT!D39)</f>
        <v xml:space="preserve"> </v>
      </c>
      <c r="AC37" s="181" t="str">
        <f>IF(MAT!E39=0," ",MAT!E39)</f>
        <v xml:space="preserve"> </v>
      </c>
      <c r="AD37" s="186">
        <f>IF(MAT!F39=0," ",MAT!F39)</f>
        <v>16</v>
      </c>
      <c r="AE37" s="202">
        <f>IF('T. TEC. GRAL'!C39=0," ",'T. TEC. GRAL'!C39)</f>
        <v>54</v>
      </c>
      <c r="AF37" s="186" t="str">
        <f>IF('T. TEC. GRAL'!D39=0," ",'T. TEC. GRAL'!D39)</f>
        <v xml:space="preserve"> </v>
      </c>
      <c r="AG37" s="186" t="str">
        <f>IF('T. TEC. GRAL'!E39=0," ",'T. TEC. GRAL'!E39)</f>
        <v xml:space="preserve"> </v>
      </c>
      <c r="AH37" s="200">
        <f>IF('T. TEC. GRAL'!F39=0," ",'T. TEC. GRAL'!F39)</f>
        <v>18</v>
      </c>
      <c r="AI37" s="201">
        <f>IF('BIO-GEO'!C39=0," ",'BIO-GEO'!C39)</f>
        <v>53</v>
      </c>
      <c r="AJ37" s="181" t="str">
        <f>IF('BIO-GEO'!D39=0," ",'BIO-GEO'!D39)</f>
        <v xml:space="preserve"> </v>
      </c>
      <c r="AK37" s="181" t="str">
        <f>IF('BIO-GEO'!E39=0," ",'BIO-GEO'!E39)</f>
        <v xml:space="preserve"> </v>
      </c>
      <c r="AL37" s="186">
        <f>IF('BIO-GEO'!F39=0," ",'BIO-GEO'!F39)</f>
        <v>18</v>
      </c>
      <c r="AM37" s="199">
        <f>IF(PSI!C39=0," ",PSI!C39)</f>
        <v>47</v>
      </c>
      <c r="AN37" s="181" t="str">
        <f>IF(PSI!D39=0," ",PSI!D39)</f>
        <v xml:space="preserve"> </v>
      </c>
      <c r="AO37" s="181" t="str">
        <f>IF(PSI!E39=0," ",PSI!E39)</f>
        <v xml:space="preserve"> </v>
      </c>
      <c r="AP37" s="181">
        <f>IF(PSI!F39=0," ",PSI!F39)</f>
        <v>16</v>
      </c>
      <c r="AQ37" s="199">
        <f>IF('REL.'!C39=0," ",'REL.'!C39)</f>
        <v>61.083333333333336</v>
      </c>
      <c r="AR37" s="48" t="str">
        <f>IF('REL.'!D39=0," ",'REL.'!D39)</f>
        <v xml:space="preserve"> </v>
      </c>
      <c r="AS37" s="48" t="str">
        <f>IF('REL.'!E39=0," ",'REL.'!E39)</f>
        <v xml:space="preserve"> </v>
      </c>
      <c r="AT37" s="95">
        <f>IF('REL.'!F39=0," ",'REL.'!F39)</f>
        <v>20</v>
      </c>
    </row>
    <row r="38" spans="1:46">
      <c r="A38" s="48">
        <f>NOMINA!A40</f>
        <v>35</v>
      </c>
      <c r="B38" s="85" t="str">
        <f>NOMINA!B40</f>
        <v>ZAMBRANA MENDEZ MIRCO ALEXANDER</v>
      </c>
      <c r="C38" s="199">
        <f>IF(LEN!C40=0," ",LEN!C40)</f>
        <v>45</v>
      </c>
      <c r="D38" s="181" t="str">
        <f>IF(LEN!D40=0," ",LEN!D40)</f>
        <v xml:space="preserve"> </v>
      </c>
      <c r="E38" s="181" t="str">
        <f>IF(LEN!E40=0," ",LEN!E40)</f>
        <v xml:space="preserve"> </v>
      </c>
      <c r="F38" s="186">
        <f>IF(LEN!F40=0," ",LEN!F40)</f>
        <v>15</v>
      </c>
      <c r="G38" s="199">
        <f>IF(ING!C40=0," ",ING!C40)</f>
        <v>41</v>
      </c>
      <c r="H38" s="181" t="str">
        <f>IF(ING!D40=0," ",ING!D40)</f>
        <v xml:space="preserve"> </v>
      </c>
      <c r="I38" s="181" t="str">
        <f>IF(ING!E40=0," ",ING!E40)</f>
        <v xml:space="preserve"> </v>
      </c>
      <c r="J38" s="200">
        <f>IF(ING!F40=0," ",ING!F40)</f>
        <v>14</v>
      </c>
      <c r="K38" s="201">
        <f>IF('C.SOC'!C40=0," ",'C.SOC'!C40)</f>
        <v>53</v>
      </c>
      <c r="L38" s="181" t="str">
        <f>IF('C.SOC'!D40=0," ",'C.SOC'!D40)</f>
        <v xml:space="preserve"> </v>
      </c>
      <c r="M38" s="181" t="str">
        <f>IF('C.SOC'!E40=0," ",'C.SOC'!E40)</f>
        <v xml:space="preserve"> </v>
      </c>
      <c r="N38" s="186">
        <f>IF('C.SOC'!F40=0," ",'C.SOC'!F40)</f>
        <v>18</v>
      </c>
      <c r="O38" s="199">
        <f>IF('E. FIS.'!C40=0," ",'E. FIS.'!C40)</f>
        <v>51</v>
      </c>
      <c r="P38" s="181" t="str">
        <f>IF('E. FIS.'!D40=0," ",'E. FIS.'!D40)</f>
        <v xml:space="preserve"> </v>
      </c>
      <c r="Q38" s="181" t="str">
        <f>IF('E. FIS.'!E40=0," ",'E. FIS.'!E40)</f>
        <v xml:space="preserve"> </v>
      </c>
      <c r="R38" s="200">
        <f>IF('E. FIS.'!F40=0," ",'E. FIS.'!F40)</f>
        <v>17</v>
      </c>
      <c r="S38" s="201">
        <f>IF(MUS.!C40=0," ",MUS.!C40)</f>
        <v>57</v>
      </c>
      <c r="T38" s="181" t="str">
        <f>IF(MUS.!D40=0," ",MUS.!D40)</f>
        <v xml:space="preserve"> </v>
      </c>
      <c r="U38" s="181" t="str">
        <f>IF(MUS.!E40=0," ",MUS.!E40)</f>
        <v xml:space="preserve"> </v>
      </c>
      <c r="V38" s="186">
        <f>IF(MUS.!F40=0," ",MUS.!F40)</f>
        <v>19</v>
      </c>
      <c r="W38" s="199">
        <f>IF('A.PL. '!C40=0," ",'A.PL. '!C40)</f>
        <v>70</v>
      </c>
      <c r="X38" s="181" t="str">
        <f>IF('A.PL. '!D40=0," ",'A.PL. '!D40)</f>
        <v xml:space="preserve"> </v>
      </c>
      <c r="Y38" s="181" t="str">
        <f>IF('A.PL. '!E40=0," ",'A.PL. '!E40)</f>
        <v xml:space="preserve"> </v>
      </c>
      <c r="Z38" s="200">
        <f>IF('A.PL. '!F40=0," ",'A.PL. '!F40)</f>
        <v>23</v>
      </c>
      <c r="AA38" s="199">
        <f>IF(MAT!C40=0," ",MAT!C40)</f>
        <v>47</v>
      </c>
      <c r="AB38" s="181" t="str">
        <f>IF(MAT!D40=0," ",MAT!D40)</f>
        <v xml:space="preserve"> </v>
      </c>
      <c r="AC38" s="181" t="str">
        <f>IF(MAT!E40=0," ",MAT!E40)</f>
        <v xml:space="preserve"> </v>
      </c>
      <c r="AD38" s="186">
        <f>IF(MAT!F40=0," ",MAT!F40)</f>
        <v>16</v>
      </c>
      <c r="AE38" s="202">
        <f>IF('T. TEC. GRAL'!C40=0," ",'T. TEC. GRAL'!C40)</f>
        <v>43</v>
      </c>
      <c r="AF38" s="186" t="str">
        <f>IF('T. TEC. GRAL'!D40=0," ",'T. TEC. GRAL'!D40)</f>
        <v xml:space="preserve"> </v>
      </c>
      <c r="AG38" s="186" t="str">
        <f>IF('T. TEC. GRAL'!E40=0," ",'T. TEC. GRAL'!E40)</f>
        <v xml:space="preserve"> </v>
      </c>
      <c r="AH38" s="200">
        <f>IF('T. TEC. GRAL'!F40=0," ",'T. TEC. GRAL'!F40)</f>
        <v>14</v>
      </c>
      <c r="AI38" s="201">
        <f>IF('BIO-GEO'!C40=0," ",'BIO-GEO'!C40)</f>
        <v>61</v>
      </c>
      <c r="AJ38" s="181" t="str">
        <f>IF('BIO-GEO'!D40=0," ",'BIO-GEO'!D40)</f>
        <v xml:space="preserve"> </v>
      </c>
      <c r="AK38" s="181" t="str">
        <f>IF('BIO-GEO'!E40=0," ",'BIO-GEO'!E40)</f>
        <v xml:space="preserve"> </v>
      </c>
      <c r="AL38" s="186">
        <f>IF('BIO-GEO'!F40=0," ",'BIO-GEO'!F40)</f>
        <v>20</v>
      </c>
      <c r="AM38" s="199">
        <f>IF(PSI!C40=0," ",PSI!C40)</f>
        <v>69</v>
      </c>
      <c r="AN38" s="181" t="str">
        <f>IF(PSI!D40=0," ",PSI!D40)</f>
        <v xml:space="preserve"> </v>
      </c>
      <c r="AO38" s="181" t="str">
        <f>IF(PSI!E40=0," ",PSI!E40)</f>
        <v xml:space="preserve"> </v>
      </c>
      <c r="AP38" s="181">
        <f>IF(PSI!F40=0," ",PSI!F40)</f>
        <v>23</v>
      </c>
      <c r="AQ38" s="199">
        <f>IF('REL.'!C40=0," ",'REL.'!C40)</f>
        <v>51.583333333333329</v>
      </c>
      <c r="AR38" s="48" t="str">
        <f>IF('REL.'!D40=0," ",'REL.'!D40)</f>
        <v xml:space="preserve"> </v>
      </c>
      <c r="AS38" s="48" t="str">
        <f>IF('REL.'!E40=0," ",'REL.'!E40)</f>
        <v xml:space="preserve"> </v>
      </c>
      <c r="AT38" s="95">
        <f>IF('REL.'!F40=0," ",'REL.'!F40)</f>
        <v>17</v>
      </c>
    </row>
    <row r="39" spans="1:46">
      <c r="A39" s="48">
        <f>NOMINA!A41</f>
        <v>36</v>
      </c>
      <c r="B39" s="85">
        <f>NOMINA!B41</f>
        <v>0</v>
      </c>
      <c r="C39" s="199" t="str">
        <f>IF(LEN!C41=0," ",LEN!C41)</f>
        <v xml:space="preserve"> </v>
      </c>
      <c r="D39" s="181" t="str">
        <f>IF(LEN!D41=0," ",LEN!D41)</f>
        <v xml:space="preserve"> </v>
      </c>
      <c r="E39" s="181" t="str">
        <f>IF(LEN!E41=0," ",LEN!E41)</f>
        <v xml:space="preserve"> </v>
      </c>
      <c r="F39" s="186" t="str">
        <f>IF(LEN!F41=0," ",LEN!F41)</f>
        <v xml:space="preserve"> </v>
      </c>
      <c r="G39" s="199" t="str">
        <f>IF(ING!C41=0," ",ING!C41)</f>
        <v xml:space="preserve"> </v>
      </c>
      <c r="H39" s="181" t="str">
        <f>IF(ING!D41=0," ",ING!D41)</f>
        <v xml:space="preserve"> </v>
      </c>
      <c r="I39" s="181" t="str">
        <f>IF(ING!E41=0," ",ING!E41)</f>
        <v xml:space="preserve"> </v>
      </c>
      <c r="J39" s="200" t="str">
        <f>IF(ING!F41=0," ",ING!F41)</f>
        <v xml:space="preserve"> </v>
      </c>
      <c r="K39" s="201" t="str">
        <f>IF('C.SOC'!C41=0," ",'C.SOC'!C41)</f>
        <v xml:space="preserve"> </v>
      </c>
      <c r="L39" s="181" t="str">
        <f>IF('C.SOC'!D41=0," ",'C.SOC'!D41)</f>
        <v xml:space="preserve"> </v>
      </c>
      <c r="M39" s="181" t="str">
        <f>IF('C.SOC'!E41=0," ",'C.SOC'!E41)</f>
        <v xml:space="preserve"> </v>
      </c>
      <c r="N39" s="186" t="str">
        <f>IF('C.SOC'!F41=0," ",'C.SOC'!F41)</f>
        <v xml:space="preserve"> </v>
      </c>
      <c r="O39" s="199" t="str">
        <f>IF('E. FIS.'!C41=0," ",'E. FIS.'!C41)</f>
        <v xml:space="preserve"> </v>
      </c>
      <c r="P39" s="181" t="str">
        <f>IF('E. FIS.'!D41=0," ",'E. FIS.'!D41)</f>
        <v xml:space="preserve"> </v>
      </c>
      <c r="Q39" s="181" t="str">
        <f>IF('E. FIS.'!E41=0," ",'E. FIS.'!E41)</f>
        <v xml:space="preserve"> </v>
      </c>
      <c r="R39" s="200" t="str">
        <f>IF('E. FIS.'!F41=0," ",'E. FIS.'!F41)</f>
        <v xml:space="preserve"> </v>
      </c>
      <c r="S39" s="201" t="str">
        <f>IF(MUS.!C41=0," ",MUS.!C41)</f>
        <v xml:space="preserve"> </v>
      </c>
      <c r="T39" s="181" t="str">
        <f>IF(MUS.!D41=0," ",MUS.!D41)</f>
        <v xml:space="preserve"> </v>
      </c>
      <c r="U39" s="181" t="str">
        <f>IF(MUS.!E41=0," ",MUS.!E41)</f>
        <v xml:space="preserve"> </v>
      </c>
      <c r="V39" s="186" t="str">
        <f>IF(MUS.!F41=0," ",MUS.!F41)</f>
        <v xml:space="preserve"> </v>
      </c>
      <c r="W39" s="199" t="str">
        <f>IF('A.PL. '!C41=0," ",'A.PL. '!C41)</f>
        <v xml:space="preserve"> </v>
      </c>
      <c r="X39" s="181" t="str">
        <f>IF('A.PL. '!D41=0," ",'A.PL. '!D41)</f>
        <v xml:space="preserve"> </v>
      </c>
      <c r="Y39" s="181" t="str">
        <f>IF('A.PL. '!E41=0," ",'A.PL. '!E41)</f>
        <v xml:space="preserve"> </v>
      </c>
      <c r="Z39" s="200" t="str">
        <f>IF('A.PL. '!F41=0," ",'A.PL. '!F41)</f>
        <v xml:space="preserve"> </v>
      </c>
      <c r="AA39" s="199" t="str">
        <f>IF(MAT!C41=0," ",MAT!C41)</f>
        <v xml:space="preserve"> </v>
      </c>
      <c r="AB39" s="181" t="str">
        <f>IF(MAT!D41=0," ",MAT!D41)</f>
        <v xml:space="preserve"> </v>
      </c>
      <c r="AC39" s="181" t="str">
        <f>IF(MAT!E41=0," ",MAT!E41)</f>
        <v xml:space="preserve"> </v>
      </c>
      <c r="AD39" s="186" t="str">
        <f>IF(MAT!F41=0," ",MAT!F41)</f>
        <v xml:space="preserve"> </v>
      </c>
      <c r="AE39" s="202" t="str">
        <f>IF('T. TEC. GRAL'!C41=0," ",'T. TEC. GRAL'!C41)</f>
        <v xml:space="preserve"> </v>
      </c>
      <c r="AF39" s="186" t="str">
        <f>IF('T. TEC. GRAL'!D41=0," ",'T. TEC. GRAL'!D41)</f>
        <v xml:space="preserve"> </v>
      </c>
      <c r="AG39" s="186" t="str">
        <f>IF('T. TEC. GRAL'!E41=0," ",'T. TEC. GRAL'!E41)</f>
        <v xml:space="preserve"> </v>
      </c>
      <c r="AH39" s="200" t="str">
        <f>IF('T. TEC. GRAL'!F41=0," ",'T. TEC. GRAL'!F41)</f>
        <v xml:space="preserve"> </v>
      </c>
      <c r="AI39" s="201" t="str">
        <f>IF('BIO-GEO'!C41=0," ",'BIO-GEO'!C41)</f>
        <v xml:space="preserve"> </v>
      </c>
      <c r="AJ39" s="181" t="str">
        <f>IF('BIO-GEO'!D41=0," ",'BIO-GEO'!D41)</f>
        <v xml:space="preserve"> </v>
      </c>
      <c r="AK39" s="181" t="str">
        <f>IF('BIO-GEO'!E41=0," ",'BIO-GEO'!E41)</f>
        <v xml:space="preserve"> </v>
      </c>
      <c r="AL39" s="186" t="str">
        <f>IF('BIO-GEO'!F41=0," ",'BIO-GEO'!F41)</f>
        <v xml:space="preserve"> </v>
      </c>
      <c r="AM39" s="199" t="str">
        <f>IF(PSI!C41=0," ",PSI!C41)</f>
        <v xml:space="preserve"> </v>
      </c>
      <c r="AN39" s="181" t="str">
        <f>IF(PSI!D41=0," ",PSI!D41)</f>
        <v xml:space="preserve"> </v>
      </c>
      <c r="AO39" s="181" t="str">
        <f>IF(PSI!E41=0," ",PSI!E41)</f>
        <v xml:space="preserve"> </v>
      </c>
      <c r="AP39" s="181" t="str">
        <f>IF(PSI!F41=0," ",PSI!F41)</f>
        <v xml:space="preserve"> </v>
      </c>
      <c r="AQ39" s="199" t="str">
        <f>IF('REL.'!C41=0," ",'REL.'!C41)</f>
        <v xml:space="preserve"> </v>
      </c>
      <c r="AR39" s="48" t="str">
        <f>IF('REL.'!D41=0," ",'REL.'!D41)</f>
        <v xml:space="preserve"> </v>
      </c>
      <c r="AS39" s="48" t="str">
        <f>IF('REL.'!E41=0," ",'REL.'!E41)</f>
        <v xml:space="preserve"> </v>
      </c>
      <c r="AT39" s="95" t="str">
        <f>IF('REL.'!F41=0," ",'REL.'!F41)</f>
        <v xml:space="preserve"> </v>
      </c>
    </row>
    <row r="40" spans="1:46">
      <c r="A40" s="48">
        <f>NOMINA!A42</f>
        <v>37</v>
      </c>
      <c r="B40" s="85">
        <f>NOMINA!B42</f>
        <v>0</v>
      </c>
      <c r="C40" s="199" t="str">
        <f>IF(LEN!C42=0," ",LEN!C42)</f>
        <v xml:space="preserve"> </v>
      </c>
      <c r="D40" s="181" t="str">
        <f>IF(LEN!D42=0," ",LEN!D42)</f>
        <v xml:space="preserve"> </v>
      </c>
      <c r="E40" s="181" t="str">
        <f>IF(LEN!E42=0," ",LEN!E42)</f>
        <v xml:space="preserve"> </v>
      </c>
      <c r="F40" s="186" t="str">
        <f>IF(LEN!F42=0," ",LEN!F42)</f>
        <v xml:space="preserve"> </v>
      </c>
      <c r="G40" s="199" t="str">
        <f>IF(ING!C42=0," ",ING!C42)</f>
        <v xml:space="preserve"> </v>
      </c>
      <c r="H40" s="181" t="str">
        <f>IF(ING!D42=0," ",ING!D42)</f>
        <v xml:space="preserve"> </v>
      </c>
      <c r="I40" s="181" t="str">
        <f>IF(ING!E42=0," ",ING!E42)</f>
        <v xml:space="preserve"> </v>
      </c>
      <c r="J40" s="200" t="str">
        <f>IF(ING!F42=0," ",ING!F42)</f>
        <v xml:space="preserve"> </v>
      </c>
      <c r="K40" s="201" t="str">
        <f>IF('C.SOC'!C42=0," ",'C.SOC'!C42)</f>
        <v xml:space="preserve"> </v>
      </c>
      <c r="L40" s="181" t="str">
        <f>IF('C.SOC'!D42=0," ",'C.SOC'!D42)</f>
        <v xml:space="preserve"> </v>
      </c>
      <c r="M40" s="181" t="str">
        <f>IF('C.SOC'!E42=0," ",'C.SOC'!E42)</f>
        <v xml:space="preserve"> </v>
      </c>
      <c r="N40" s="186" t="str">
        <f>IF('C.SOC'!F42=0," ",'C.SOC'!F42)</f>
        <v xml:space="preserve"> </v>
      </c>
      <c r="O40" s="199" t="str">
        <f>IF('E. FIS.'!C42=0," ",'E. FIS.'!C42)</f>
        <v xml:space="preserve"> </v>
      </c>
      <c r="P40" s="181" t="str">
        <f>IF('E. FIS.'!D42=0," ",'E. FIS.'!D42)</f>
        <v xml:space="preserve"> </v>
      </c>
      <c r="Q40" s="181" t="str">
        <f>IF('E. FIS.'!E42=0," ",'E. FIS.'!E42)</f>
        <v xml:space="preserve"> </v>
      </c>
      <c r="R40" s="200" t="str">
        <f>IF('E. FIS.'!F42=0," ",'E. FIS.'!F42)</f>
        <v xml:space="preserve"> </v>
      </c>
      <c r="S40" s="201" t="str">
        <f>IF(MUS.!C42=0," ",MUS.!C42)</f>
        <v xml:space="preserve"> </v>
      </c>
      <c r="T40" s="181" t="str">
        <f>IF(MUS.!D42=0," ",MUS.!D42)</f>
        <v xml:space="preserve"> </v>
      </c>
      <c r="U40" s="181" t="str">
        <f>IF(MUS.!E42=0," ",MUS.!E42)</f>
        <v xml:space="preserve"> </v>
      </c>
      <c r="V40" s="186" t="str">
        <f>IF(MUS.!F42=0," ",MUS.!F42)</f>
        <v xml:space="preserve"> </v>
      </c>
      <c r="W40" s="199" t="str">
        <f>IF('A.PL. '!C42=0," ",'A.PL. '!C42)</f>
        <v xml:space="preserve"> </v>
      </c>
      <c r="X40" s="181" t="str">
        <f>IF('A.PL. '!D42=0," ",'A.PL. '!D42)</f>
        <v xml:space="preserve"> </v>
      </c>
      <c r="Y40" s="181" t="str">
        <f>IF('A.PL. '!E42=0," ",'A.PL. '!E42)</f>
        <v xml:space="preserve"> </v>
      </c>
      <c r="Z40" s="200" t="str">
        <f>IF('A.PL. '!F42=0," ",'A.PL. '!F42)</f>
        <v xml:space="preserve"> </v>
      </c>
      <c r="AA40" s="199" t="str">
        <f>IF(MAT!C42=0," ",MAT!C42)</f>
        <v xml:space="preserve"> </v>
      </c>
      <c r="AB40" s="181" t="str">
        <f>IF(MAT!D42=0," ",MAT!D42)</f>
        <v xml:space="preserve"> </v>
      </c>
      <c r="AC40" s="181" t="str">
        <f>IF(MAT!E42=0," ",MAT!E42)</f>
        <v xml:space="preserve"> </v>
      </c>
      <c r="AD40" s="186" t="str">
        <f>IF(MAT!F42=0," ",MAT!F42)</f>
        <v xml:space="preserve"> </v>
      </c>
      <c r="AE40" s="202" t="str">
        <f>IF('T. TEC. GRAL'!C42=0," ",'T. TEC. GRAL'!C42)</f>
        <v xml:space="preserve"> </v>
      </c>
      <c r="AF40" s="186" t="str">
        <f>IF('T. TEC. GRAL'!D42=0," ",'T. TEC. GRAL'!D42)</f>
        <v xml:space="preserve"> </v>
      </c>
      <c r="AG40" s="186" t="str">
        <f>IF('T. TEC. GRAL'!E42=0," ",'T. TEC. GRAL'!E42)</f>
        <v xml:space="preserve"> </v>
      </c>
      <c r="AH40" s="200" t="str">
        <f>IF('T. TEC. GRAL'!F42=0," ",'T. TEC. GRAL'!F42)</f>
        <v xml:space="preserve"> </v>
      </c>
      <c r="AI40" s="201" t="str">
        <f>IF('BIO-GEO'!C42=0," ",'BIO-GEO'!C42)</f>
        <v xml:space="preserve"> </v>
      </c>
      <c r="AJ40" s="181" t="str">
        <f>IF('BIO-GEO'!D42=0," ",'BIO-GEO'!D42)</f>
        <v xml:space="preserve"> </v>
      </c>
      <c r="AK40" s="181" t="str">
        <f>IF('BIO-GEO'!E42=0," ",'BIO-GEO'!E42)</f>
        <v xml:space="preserve"> </v>
      </c>
      <c r="AL40" s="186" t="str">
        <f>IF('BIO-GEO'!F42=0," ",'BIO-GEO'!F42)</f>
        <v xml:space="preserve"> </v>
      </c>
      <c r="AM40" s="199" t="str">
        <f>IF(PSI!C42=0," ",PSI!C42)</f>
        <v xml:space="preserve"> </v>
      </c>
      <c r="AN40" s="181" t="str">
        <f>IF(PSI!D42=0," ",PSI!D42)</f>
        <v xml:space="preserve"> </v>
      </c>
      <c r="AO40" s="181" t="str">
        <f>IF(PSI!E42=0," ",PSI!E42)</f>
        <v xml:space="preserve"> </v>
      </c>
      <c r="AP40" s="181" t="str">
        <f>IF(PSI!F42=0," ",PSI!F42)</f>
        <v xml:space="preserve"> </v>
      </c>
      <c r="AQ40" s="199" t="str">
        <f>IF('REL.'!C42=0," ",'REL.'!C42)</f>
        <v xml:space="preserve"> </v>
      </c>
      <c r="AR40" s="48" t="str">
        <f>IF('REL.'!D42=0," ",'REL.'!D42)</f>
        <v xml:space="preserve"> </v>
      </c>
      <c r="AS40" s="48" t="str">
        <f>IF('REL.'!E42=0," ",'REL.'!E42)</f>
        <v xml:space="preserve"> </v>
      </c>
      <c r="AT40" s="95" t="str">
        <f>IF('REL.'!F42=0," ",'REL.'!F42)</f>
        <v xml:space="preserve"> </v>
      </c>
    </row>
    <row r="41" spans="1:46">
      <c r="A41" s="48">
        <f>NOMINA!A43</f>
        <v>38</v>
      </c>
      <c r="B41" s="85">
        <f>NOMINA!B43</f>
        <v>0</v>
      </c>
      <c r="C41" s="199" t="str">
        <f>IF(LEN!C43=0," ",LEN!C43)</f>
        <v xml:space="preserve"> </v>
      </c>
      <c r="D41" s="181" t="str">
        <f>IF(LEN!D43=0," ",LEN!D43)</f>
        <v xml:space="preserve"> </v>
      </c>
      <c r="E41" s="181" t="str">
        <f>IF(LEN!E43=0," ",LEN!E43)</f>
        <v xml:space="preserve"> </v>
      </c>
      <c r="F41" s="186" t="str">
        <f>IF(LEN!F43=0," ",LEN!F43)</f>
        <v xml:space="preserve"> </v>
      </c>
      <c r="G41" s="199" t="str">
        <f>IF(ING!C43=0," ",ING!C43)</f>
        <v xml:space="preserve"> </v>
      </c>
      <c r="H41" s="181" t="str">
        <f>IF(ING!D43=0," ",ING!D43)</f>
        <v xml:space="preserve"> </v>
      </c>
      <c r="I41" s="181" t="str">
        <f>IF(ING!E43=0," ",ING!E43)</f>
        <v xml:space="preserve"> </v>
      </c>
      <c r="J41" s="200" t="str">
        <f>IF(ING!F43=0," ",ING!F43)</f>
        <v xml:space="preserve"> </v>
      </c>
      <c r="K41" s="201" t="str">
        <f>IF('C.SOC'!C43=0," ",'C.SOC'!C43)</f>
        <v xml:space="preserve"> </v>
      </c>
      <c r="L41" s="181" t="str">
        <f>IF('C.SOC'!D43=0," ",'C.SOC'!D43)</f>
        <v xml:space="preserve"> </v>
      </c>
      <c r="M41" s="181" t="str">
        <f>IF('C.SOC'!E43=0," ",'C.SOC'!E43)</f>
        <v xml:space="preserve"> </v>
      </c>
      <c r="N41" s="186" t="str">
        <f>IF('C.SOC'!F43=0," ",'C.SOC'!F43)</f>
        <v xml:space="preserve"> </v>
      </c>
      <c r="O41" s="199" t="str">
        <f>IF('E. FIS.'!C43=0," ",'E. FIS.'!C43)</f>
        <v xml:space="preserve"> </v>
      </c>
      <c r="P41" s="181" t="str">
        <f>IF('E. FIS.'!D43=0," ",'E. FIS.'!D43)</f>
        <v xml:space="preserve"> </v>
      </c>
      <c r="Q41" s="181" t="str">
        <f>IF('E. FIS.'!E43=0," ",'E. FIS.'!E43)</f>
        <v xml:space="preserve"> </v>
      </c>
      <c r="R41" s="200" t="str">
        <f>IF('E. FIS.'!F43=0," ",'E. FIS.'!F43)</f>
        <v xml:space="preserve"> </v>
      </c>
      <c r="S41" s="201" t="str">
        <f>IF(MUS.!C43=0," ",MUS.!C43)</f>
        <v xml:space="preserve"> </v>
      </c>
      <c r="T41" s="181" t="str">
        <f>IF(MUS.!D43=0," ",MUS.!D43)</f>
        <v xml:space="preserve"> </v>
      </c>
      <c r="U41" s="181" t="str">
        <f>IF(MUS.!E43=0," ",MUS.!E43)</f>
        <v xml:space="preserve"> </v>
      </c>
      <c r="V41" s="186" t="str">
        <f>IF(MUS.!F43=0," ",MUS.!F43)</f>
        <v xml:space="preserve"> </v>
      </c>
      <c r="W41" s="199" t="str">
        <f>IF('A.PL. '!C43=0," ",'A.PL. '!C43)</f>
        <v xml:space="preserve"> </v>
      </c>
      <c r="X41" s="181" t="str">
        <f>IF('A.PL. '!D43=0," ",'A.PL. '!D43)</f>
        <v xml:space="preserve"> </v>
      </c>
      <c r="Y41" s="181" t="str">
        <f>IF('A.PL. '!E43=0," ",'A.PL. '!E43)</f>
        <v xml:space="preserve"> </v>
      </c>
      <c r="Z41" s="200" t="str">
        <f>IF('A.PL. '!F43=0," ",'A.PL. '!F43)</f>
        <v xml:space="preserve"> </v>
      </c>
      <c r="AA41" s="199" t="str">
        <f>IF(MAT!C43=0," ",MAT!C43)</f>
        <v xml:space="preserve"> </v>
      </c>
      <c r="AB41" s="181" t="str">
        <f>IF(MAT!D43=0," ",MAT!D43)</f>
        <v xml:space="preserve"> </v>
      </c>
      <c r="AC41" s="181" t="str">
        <f>IF(MAT!E43=0," ",MAT!E43)</f>
        <v xml:space="preserve"> </v>
      </c>
      <c r="AD41" s="186" t="str">
        <f>IF(MAT!F43=0," ",MAT!F43)</f>
        <v xml:space="preserve"> </v>
      </c>
      <c r="AE41" s="202" t="str">
        <f>IF('T. TEC. GRAL'!C43=0," ",'T. TEC. GRAL'!C43)</f>
        <v xml:space="preserve"> </v>
      </c>
      <c r="AF41" s="186" t="str">
        <f>IF('T. TEC. GRAL'!D43=0," ",'T. TEC. GRAL'!D43)</f>
        <v xml:space="preserve"> </v>
      </c>
      <c r="AG41" s="186" t="str">
        <f>IF('T. TEC. GRAL'!E43=0," ",'T. TEC. GRAL'!E43)</f>
        <v xml:space="preserve"> </v>
      </c>
      <c r="AH41" s="200" t="str">
        <f>IF('T. TEC. GRAL'!F43=0," ",'T. TEC. GRAL'!F43)</f>
        <v xml:space="preserve"> </v>
      </c>
      <c r="AI41" s="201" t="str">
        <f>IF('BIO-GEO'!C43=0," ",'BIO-GEO'!C43)</f>
        <v xml:space="preserve"> </v>
      </c>
      <c r="AJ41" s="181" t="str">
        <f>IF('BIO-GEO'!D43=0," ",'BIO-GEO'!D43)</f>
        <v xml:space="preserve"> </v>
      </c>
      <c r="AK41" s="181" t="str">
        <f>IF('BIO-GEO'!E43=0," ",'BIO-GEO'!E43)</f>
        <v xml:space="preserve"> </v>
      </c>
      <c r="AL41" s="186" t="str">
        <f>IF('BIO-GEO'!F43=0," ",'BIO-GEO'!F43)</f>
        <v xml:space="preserve"> </v>
      </c>
      <c r="AM41" s="199" t="str">
        <f>IF(PSI!C43=0," ",PSI!C43)</f>
        <v xml:space="preserve"> </v>
      </c>
      <c r="AN41" s="181" t="str">
        <f>IF(PSI!D43=0," ",PSI!D43)</f>
        <v xml:space="preserve"> </v>
      </c>
      <c r="AO41" s="181" t="str">
        <f>IF(PSI!E43=0," ",PSI!E43)</f>
        <v xml:space="preserve"> </v>
      </c>
      <c r="AP41" s="181" t="str">
        <f>IF(PSI!F43=0," ",PSI!F43)</f>
        <v xml:space="preserve"> </v>
      </c>
      <c r="AQ41" s="199" t="str">
        <f>IF('REL.'!C43=0," ",'REL.'!C43)</f>
        <v xml:space="preserve"> </v>
      </c>
      <c r="AR41" s="48" t="str">
        <f>IF('REL.'!D43=0," ",'REL.'!D43)</f>
        <v xml:space="preserve"> </v>
      </c>
      <c r="AS41" s="48" t="str">
        <f>IF('REL.'!E43=0," ",'REL.'!E43)</f>
        <v xml:space="preserve"> </v>
      </c>
      <c r="AT41" s="95" t="str">
        <f>IF('REL.'!F43=0," ",'REL.'!F43)</f>
        <v xml:space="preserve"> </v>
      </c>
    </row>
    <row r="42" spans="1:46">
      <c r="A42" s="48">
        <f>NOMINA!A44</f>
        <v>39</v>
      </c>
      <c r="B42" s="85">
        <f>NOMINA!B44</f>
        <v>0</v>
      </c>
      <c r="C42" s="199" t="str">
        <f>IF(LEN!C44=0," ",LEN!C44)</f>
        <v xml:space="preserve"> </v>
      </c>
      <c r="D42" s="181" t="str">
        <f>IF(LEN!D44=0," ",LEN!D44)</f>
        <v xml:space="preserve"> </v>
      </c>
      <c r="E42" s="181" t="str">
        <f>IF(LEN!E44=0," ",LEN!E44)</f>
        <v xml:space="preserve"> </v>
      </c>
      <c r="F42" s="186" t="str">
        <f>IF(LEN!F44=0," ",LEN!F44)</f>
        <v xml:space="preserve"> </v>
      </c>
      <c r="G42" s="199" t="str">
        <f>IF(ING!G44=0," ",ING!G44)</f>
        <v xml:space="preserve"> </v>
      </c>
      <c r="H42" s="181" t="str">
        <f>IF(ING!D44=0," ",ING!D44)</f>
        <v xml:space="preserve"> </v>
      </c>
      <c r="I42" s="181" t="str">
        <f>IF(ING!E44=0," ",ING!E44)</f>
        <v xml:space="preserve"> </v>
      </c>
      <c r="J42" s="200" t="str">
        <f>IF(ING!F44=0," ",ING!F44)</f>
        <v xml:space="preserve"> </v>
      </c>
      <c r="K42" s="201" t="str">
        <f>IF('C.SOC'!C44=0," ",'C.SOC'!C44)</f>
        <v xml:space="preserve"> </v>
      </c>
      <c r="L42" s="181" t="str">
        <f>IF('C.SOC'!D44=0," ",'C.SOC'!D44)</f>
        <v xml:space="preserve"> </v>
      </c>
      <c r="M42" s="181" t="str">
        <f>IF('C.SOC'!E44=0," ",'C.SOC'!E44)</f>
        <v xml:space="preserve"> </v>
      </c>
      <c r="N42" s="186" t="str">
        <f>IF('C.SOC'!F44=0," ",'C.SOC'!F44)</f>
        <v xml:space="preserve"> </v>
      </c>
      <c r="O42" s="199" t="str">
        <f>IF('E. FIS.'!C44=0," ",'E. FIS.'!C44)</f>
        <v xml:space="preserve"> </v>
      </c>
      <c r="P42" s="181" t="str">
        <f>IF('E. FIS.'!D44=0," ",'E. FIS.'!D44)</f>
        <v xml:space="preserve"> </v>
      </c>
      <c r="Q42" s="181" t="str">
        <f>IF('E. FIS.'!E44=0," ",'E. FIS.'!E44)</f>
        <v xml:space="preserve"> </v>
      </c>
      <c r="R42" s="200" t="str">
        <f>IF('E. FIS.'!F44=0," ",'E. FIS.'!F44)</f>
        <v xml:space="preserve"> </v>
      </c>
      <c r="S42" s="201" t="str">
        <f>IF(MUS.!C44=0," ",MUS.!C44)</f>
        <v xml:space="preserve"> </v>
      </c>
      <c r="T42" s="181" t="str">
        <f>IF(MUS.!D44=0," ",MUS.!D44)</f>
        <v xml:space="preserve"> </v>
      </c>
      <c r="U42" s="181" t="str">
        <f>IF(MUS.!E44=0," ",MUS.!E44)</f>
        <v xml:space="preserve"> </v>
      </c>
      <c r="V42" s="186" t="str">
        <f>IF(MUS.!F44=0," ",MUS.!F44)</f>
        <v xml:space="preserve"> </v>
      </c>
      <c r="W42" s="199" t="str">
        <f>IF('A.PL. '!C44=0," ",'A.PL. '!C44)</f>
        <v xml:space="preserve"> </v>
      </c>
      <c r="X42" s="181" t="str">
        <f>IF('A.PL. '!D44=0," ",'A.PL. '!D44)</f>
        <v xml:space="preserve"> </v>
      </c>
      <c r="Y42" s="181" t="str">
        <f>IF('A.PL. '!E44=0," ",'A.PL. '!E44)</f>
        <v xml:space="preserve"> </v>
      </c>
      <c r="Z42" s="200" t="str">
        <f>IF('A.PL. '!F44=0," ",'A.PL. '!F44)</f>
        <v xml:space="preserve"> </v>
      </c>
      <c r="AA42" s="199" t="str">
        <f>IF(MAT!C44=0," ",MAT!C44)</f>
        <v xml:space="preserve"> </v>
      </c>
      <c r="AB42" s="181" t="str">
        <f>IF(MAT!D44=0," ",MAT!D44)</f>
        <v xml:space="preserve"> </v>
      </c>
      <c r="AC42" s="181" t="str">
        <f>IF(MAT!E44=0," ",MAT!E44)</f>
        <v xml:space="preserve"> </v>
      </c>
      <c r="AD42" s="186" t="str">
        <f>IF(MAT!F44=0," ",MAT!F44)</f>
        <v xml:space="preserve"> </v>
      </c>
      <c r="AE42" s="202" t="str">
        <f>IF('T. TEC. GRAL'!C44=0," ",'T. TEC. GRAL'!C44)</f>
        <v xml:space="preserve"> </v>
      </c>
      <c r="AF42" s="186" t="str">
        <f>IF('T. TEC. GRAL'!D44=0," ",'T. TEC. GRAL'!D44)</f>
        <v xml:space="preserve"> </v>
      </c>
      <c r="AG42" s="186" t="str">
        <f>IF('T. TEC. GRAL'!E44=0," ",'T. TEC. GRAL'!E44)</f>
        <v xml:space="preserve"> </v>
      </c>
      <c r="AH42" s="200" t="str">
        <f>IF('T. TEC. GRAL'!F44=0," ",'T. TEC. GRAL'!F44)</f>
        <v xml:space="preserve"> </v>
      </c>
      <c r="AI42" s="201" t="str">
        <f>IF('BIO-GEO'!C44=0," ",'BIO-GEO'!C44)</f>
        <v xml:space="preserve"> </v>
      </c>
      <c r="AJ42" s="181" t="str">
        <f>IF('BIO-GEO'!D44=0," ",'BIO-GEO'!D44)</f>
        <v xml:space="preserve"> </v>
      </c>
      <c r="AK42" s="181" t="str">
        <f>IF('BIO-GEO'!E44=0," ",'BIO-GEO'!E44)</f>
        <v xml:space="preserve"> </v>
      </c>
      <c r="AL42" s="186" t="str">
        <f>IF('BIO-GEO'!F44=0," ",'BIO-GEO'!F44)</f>
        <v xml:space="preserve"> </v>
      </c>
      <c r="AM42" s="199" t="str">
        <f>IF(PSI!C44=0," ",PSI!C44)</f>
        <v xml:space="preserve"> </v>
      </c>
      <c r="AN42" s="181" t="str">
        <f>IF(PSI!D44=0," ",PSI!D44)</f>
        <v xml:space="preserve"> </v>
      </c>
      <c r="AO42" s="181" t="str">
        <f>IF(PSI!E44=0," ",PSI!E44)</f>
        <v xml:space="preserve"> </v>
      </c>
      <c r="AP42" s="181" t="str">
        <f>IF(PSI!F44=0," ",PSI!F44)</f>
        <v xml:space="preserve"> </v>
      </c>
      <c r="AQ42" s="199" t="str">
        <f>IF('REL.'!C44=0," ",'REL.'!C44)</f>
        <v xml:space="preserve"> </v>
      </c>
      <c r="AR42" s="48" t="str">
        <f>IF('REL.'!D44=0," ",'REL.'!D44)</f>
        <v xml:space="preserve"> </v>
      </c>
      <c r="AS42" s="48" t="str">
        <f>IF('REL.'!E44=0," ",'REL.'!E44)</f>
        <v xml:space="preserve"> </v>
      </c>
      <c r="AT42" s="95" t="str">
        <f>IF('REL.'!F44=0," ",'REL.'!F44)</f>
        <v xml:space="preserve"> </v>
      </c>
    </row>
    <row r="43" spans="1:46">
      <c r="A43" s="48">
        <f>NOMINA!A45</f>
        <v>40</v>
      </c>
      <c r="B43" s="85">
        <f>NOMINA!B45</f>
        <v>0</v>
      </c>
      <c r="C43" s="199" t="str">
        <f>IF(LEN!C45=0," ",LEN!C45)</f>
        <v xml:space="preserve"> </v>
      </c>
      <c r="D43" s="181" t="str">
        <f>IF(LEN!D45=0," ",LEN!D45)</f>
        <v xml:space="preserve"> </v>
      </c>
      <c r="E43" s="181" t="str">
        <f>IF(LEN!E45=0," ",LEN!E45)</f>
        <v xml:space="preserve"> </v>
      </c>
      <c r="F43" s="186" t="str">
        <f>IF(LEN!F45=0," ",LEN!F45)</f>
        <v xml:space="preserve"> </v>
      </c>
      <c r="G43" s="199" t="str">
        <f>IF(ING!C45=0," ",ING!C45)</f>
        <v xml:space="preserve"> </v>
      </c>
      <c r="H43" s="181" t="str">
        <f>IF(ING!D45=0," ",ING!D45)</f>
        <v xml:space="preserve"> </v>
      </c>
      <c r="I43" s="181" t="str">
        <f>IF(ING!E45=0," ",ING!E45)</f>
        <v xml:space="preserve"> </v>
      </c>
      <c r="J43" s="200" t="str">
        <f>IF(ING!F45=0," ",ING!F45)</f>
        <v xml:space="preserve"> </v>
      </c>
      <c r="K43" s="201" t="str">
        <f>IF('C.SOC'!C45=0," ",'C.SOC'!C45)</f>
        <v xml:space="preserve"> </v>
      </c>
      <c r="L43" s="181" t="str">
        <f>IF('C.SOC'!D45=0," ",'C.SOC'!D45)</f>
        <v xml:space="preserve"> </v>
      </c>
      <c r="M43" s="181" t="str">
        <f>IF('C.SOC'!E45=0," ",'C.SOC'!E45)</f>
        <v xml:space="preserve"> </v>
      </c>
      <c r="N43" s="186" t="str">
        <f>IF('C.SOC'!F45=0," ",'C.SOC'!F45)</f>
        <v xml:space="preserve"> </v>
      </c>
      <c r="O43" s="199" t="str">
        <f>IF('E. FIS.'!C45=0," ",'E. FIS.'!C45)</f>
        <v xml:space="preserve"> </v>
      </c>
      <c r="P43" s="181" t="str">
        <f>IF('E. FIS.'!D45=0," ",'E. FIS.'!D45)</f>
        <v xml:space="preserve"> </v>
      </c>
      <c r="Q43" s="181" t="str">
        <f>IF('E. FIS.'!E45=0," ",'E. FIS.'!E45)</f>
        <v xml:space="preserve"> </v>
      </c>
      <c r="R43" s="200" t="str">
        <f>IF('E. FIS.'!F45=0," ",'E. FIS.'!F45)</f>
        <v xml:space="preserve"> </v>
      </c>
      <c r="S43" s="201" t="str">
        <f>IF(MUS.!C45=0," ",MUS.!C45)</f>
        <v xml:space="preserve"> </v>
      </c>
      <c r="T43" s="181" t="str">
        <f>IF(MUS.!D45=0," ",MUS.!D45)</f>
        <v xml:space="preserve"> </v>
      </c>
      <c r="U43" s="181" t="str">
        <f>IF(MUS.!E45=0," ",MUS.!E45)</f>
        <v xml:space="preserve"> </v>
      </c>
      <c r="V43" s="186" t="str">
        <f>IF(MUS.!F45=0," ",MUS.!F45)</f>
        <v xml:space="preserve"> </v>
      </c>
      <c r="W43" s="199" t="str">
        <f>IF('A.PL. '!C45=0," ",'A.PL. '!C45)</f>
        <v xml:space="preserve"> </v>
      </c>
      <c r="X43" s="181" t="str">
        <f>IF('A.PL. '!D45=0," ",'A.PL. '!D45)</f>
        <v xml:space="preserve"> </v>
      </c>
      <c r="Y43" s="181" t="str">
        <f>IF('A.PL. '!E45=0," ",'A.PL. '!E45)</f>
        <v xml:space="preserve"> </v>
      </c>
      <c r="Z43" s="200" t="str">
        <f>IF('A.PL. '!F45=0," ",'A.PL. '!F45)</f>
        <v xml:space="preserve"> </v>
      </c>
      <c r="AA43" s="199" t="str">
        <f>IF(MAT!C45=0," ",MAT!C45)</f>
        <v xml:space="preserve"> </v>
      </c>
      <c r="AB43" s="181" t="str">
        <f>IF(MAT!D45=0," ",MAT!D45)</f>
        <v xml:space="preserve"> </v>
      </c>
      <c r="AC43" s="181" t="str">
        <f>IF(MAT!E45=0," ",MAT!E45)</f>
        <v xml:space="preserve"> </v>
      </c>
      <c r="AD43" s="186" t="str">
        <f>IF(MAT!F45=0," ",MAT!F45)</f>
        <v xml:space="preserve"> </v>
      </c>
      <c r="AE43" s="202" t="str">
        <f>IF('T. TEC. GRAL'!C45=0," ",'T. TEC. GRAL'!C45)</f>
        <v xml:space="preserve"> </v>
      </c>
      <c r="AF43" s="186" t="str">
        <f>IF('T. TEC. GRAL'!D45=0," ",'T. TEC. GRAL'!D45)</f>
        <v xml:space="preserve"> </v>
      </c>
      <c r="AG43" s="186" t="str">
        <f>IF('T. TEC. GRAL'!E45=0," ",'T. TEC. GRAL'!E45)</f>
        <v xml:space="preserve"> </v>
      </c>
      <c r="AH43" s="200" t="str">
        <f>IF('T. TEC. GRAL'!F45=0," ",'T. TEC. GRAL'!F45)</f>
        <v xml:space="preserve"> </v>
      </c>
      <c r="AI43" s="201" t="str">
        <f>IF('BIO-GEO'!C45=0," ",'BIO-GEO'!C45)</f>
        <v xml:space="preserve"> </v>
      </c>
      <c r="AJ43" s="181" t="str">
        <f>IF('BIO-GEO'!D45=0," ",'BIO-GEO'!D45)</f>
        <v xml:space="preserve"> </v>
      </c>
      <c r="AK43" s="181" t="str">
        <f>IF('BIO-GEO'!E45=0," ",'BIO-GEO'!E45)</f>
        <v xml:space="preserve"> </v>
      </c>
      <c r="AL43" s="186" t="str">
        <f>IF('BIO-GEO'!F45=0," ",'BIO-GEO'!F45)</f>
        <v xml:space="preserve"> </v>
      </c>
      <c r="AM43" s="199" t="str">
        <f>IF(PSI!C45=0," ",PSI!C45)</f>
        <v xml:space="preserve"> </v>
      </c>
      <c r="AN43" s="181" t="str">
        <f>IF(PSI!D45=0," ",PSI!D45)</f>
        <v xml:space="preserve"> </v>
      </c>
      <c r="AO43" s="181" t="str">
        <f>IF(PSI!E45=0," ",PSI!E45)</f>
        <v xml:space="preserve"> </v>
      </c>
      <c r="AP43" s="181" t="str">
        <f>IF(PSI!F45=0," ",PSI!F45)</f>
        <v xml:space="preserve"> </v>
      </c>
      <c r="AQ43" s="199" t="str">
        <f>IF('REL.'!C45=0," ",'REL.'!C45)</f>
        <v xml:space="preserve"> </v>
      </c>
      <c r="AR43" s="48" t="str">
        <f>IF('REL.'!D45=0," ",'REL.'!D45)</f>
        <v xml:space="preserve"> </v>
      </c>
      <c r="AS43" s="48" t="str">
        <f>IF('REL.'!E45=0," ",'REL.'!E45)</f>
        <v xml:space="preserve"> </v>
      </c>
      <c r="AT43" s="95" t="str">
        <f>IF('REL.'!F45=0," ",'REL.'!F45)</f>
        <v xml:space="preserve"> </v>
      </c>
    </row>
    <row r="44" spans="1:46">
      <c r="A44" s="48">
        <f>NOMINA!A46</f>
        <v>41</v>
      </c>
      <c r="B44" s="85">
        <f>NOMINA!B46</f>
        <v>0</v>
      </c>
      <c r="C44" s="199" t="str">
        <f>IF(LEN!C46=0," ",LEN!C46)</f>
        <v xml:space="preserve"> </v>
      </c>
      <c r="D44" s="181" t="str">
        <f>IF(LEN!D46=0," ",LEN!D46)</f>
        <v xml:space="preserve"> </v>
      </c>
      <c r="E44" s="181" t="str">
        <f>IF(LEN!E46=0," ",LEN!E46)</f>
        <v xml:space="preserve"> </v>
      </c>
      <c r="F44" s="186" t="str">
        <f>IF(LEN!F46=0," ",LEN!F46)</f>
        <v xml:space="preserve"> </v>
      </c>
      <c r="G44" s="199" t="str">
        <f>IF(ING!C46=0," ",ING!C46)</f>
        <v xml:space="preserve"> </v>
      </c>
      <c r="H44" s="181" t="str">
        <f>IF(ING!D46=0," ",ING!D46)</f>
        <v xml:space="preserve"> </v>
      </c>
      <c r="I44" s="181" t="str">
        <f>IF(ING!E46=0," ",ING!E46)</f>
        <v xml:space="preserve"> </v>
      </c>
      <c r="J44" s="200" t="str">
        <f>IF(ING!F46=0," ",ING!F46)</f>
        <v xml:space="preserve"> </v>
      </c>
      <c r="K44" s="201" t="str">
        <f>IF('C.SOC'!C46=0," ",'C.SOC'!C46)</f>
        <v xml:space="preserve"> </v>
      </c>
      <c r="L44" s="181" t="str">
        <f>IF('C.SOC'!D46=0," ",'C.SOC'!D46)</f>
        <v xml:space="preserve"> </v>
      </c>
      <c r="M44" s="181" t="str">
        <f>IF('C.SOC'!E46=0," ",'C.SOC'!E46)</f>
        <v xml:space="preserve"> </v>
      </c>
      <c r="N44" s="186" t="str">
        <f>IF('C.SOC'!F46=0," ",'C.SOC'!F46)</f>
        <v xml:space="preserve"> </v>
      </c>
      <c r="O44" s="199" t="str">
        <f>IF('E. FIS.'!C46=0," ",'E. FIS.'!C46)</f>
        <v xml:space="preserve"> </v>
      </c>
      <c r="P44" s="181" t="str">
        <f>IF('E. FIS.'!D46=0," ",'E. FIS.'!D46)</f>
        <v xml:space="preserve"> </v>
      </c>
      <c r="Q44" s="181" t="str">
        <f>IF('E. FIS.'!E46=0," ",'E. FIS.'!E46)</f>
        <v xml:space="preserve"> </v>
      </c>
      <c r="R44" s="200" t="str">
        <f>IF('E. FIS.'!F46=0," ",'E. FIS.'!F46)</f>
        <v xml:space="preserve"> </v>
      </c>
      <c r="S44" s="201" t="str">
        <f>IF(MUS.!C46=0," ",MUS.!C46)</f>
        <v xml:space="preserve"> </v>
      </c>
      <c r="T44" s="181" t="str">
        <f>IF(MUS.!D46=0," ",MUS.!D46)</f>
        <v xml:space="preserve"> </v>
      </c>
      <c r="U44" s="181" t="str">
        <f>IF(MUS.!E46=0," ",MUS.!E46)</f>
        <v xml:space="preserve"> </v>
      </c>
      <c r="V44" s="186" t="str">
        <f>IF(MUS.!F46=0," ",MUS.!F46)</f>
        <v xml:space="preserve"> </v>
      </c>
      <c r="W44" s="199" t="str">
        <f>IF('A.PL. '!C46=0," ",'A.PL. '!C46)</f>
        <v xml:space="preserve"> </v>
      </c>
      <c r="X44" s="181" t="str">
        <f>IF('A.PL. '!D46=0," ",'A.PL. '!D46)</f>
        <v xml:space="preserve"> </v>
      </c>
      <c r="Y44" s="181" t="str">
        <f>IF('A.PL. '!E46=0," ",'A.PL. '!E46)</f>
        <v xml:space="preserve"> </v>
      </c>
      <c r="Z44" s="200" t="str">
        <f>IF('A.PL. '!F46=0," ",'A.PL. '!F46)</f>
        <v xml:space="preserve"> </v>
      </c>
      <c r="AA44" s="199" t="str">
        <f>IF(MAT!C46=0," ",MAT!C46)</f>
        <v xml:space="preserve"> </v>
      </c>
      <c r="AB44" s="181" t="str">
        <f>IF(MAT!D46=0," ",MAT!D46)</f>
        <v xml:space="preserve"> </v>
      </c>
      <c r="AC44" s="181" t="str">
        <f>IF(MAT!E46=0," ",MAT!E46)</f>
        <v xml:space="preserve"> </v>
      </c>
      <c r="AD44" s="186" t="str">
        <f>IF(MAT!F46=0," ",MAT!F46)</f>
        <v xml:space="preserve"> </v>
      </c>
      <c r="AE44" s="202" t="str">
        <f>IF('T. TEC. GRAL'!C46=0," ",'T. TEC. GRAL'!C46)</f>
        <v xml:space="preserve"> </v>
      </c>
      <c r="AF44" s="186" t="str">
        <f>IF('T. TEC. GRAL'!D46=0," ",'T. TEC. GRAL'!D46)</f>
        <v xml:space="preserve"> </v>
      </c>
      <c r="AG44" s="186" t="str">
        <f>IF('T. TEC. GRAL'!E46=0," ",'T. TEC. GRAL'!E46)</f>
        <v xml:space="preserve"> </v>
      </c>
      <c r="AH44" s="200" t="str">
        <f>IF('T. TEC. GRAL'!F46=0," ",'T. TEC. GRAL'!F46)</f>
        <v xml:space="preserve"> </v>
      </c>
      <c r="AI44" s="201" t="str">
        <f>IF('BIO-GEO'!C46=0," ",'BIO-GEO'!C46)</f>
        <v xml:space="preserve"> </v>
      </c>
      <c r="AJ44" s="181" t="str">
        <f>IF('BIO-GEO'!D46=0," ",'BIO-GEO'!D46)</f>
        <v xml:space="preserve"> </v>
      </c>
      <c r="AK44" s="181" t="str">
        <f>IF('BIO-GEO'!E46=0," ",'BIO-GEO'!E46)</f>
        <v xml:space="preserve"> </v>
      </c>
      <c r="AL44" s="186" t="str">
        <f>IF('BIO-GEO'!F46=0," ",'BIO-GEO'!F46)</f>
        <v xml:space="preserve"> </v>
      </c>
      <c r="AM44" s="199" t="str">
        <f>IF(PSI!C46=0," ",PSI!C46)</f>
        <v xml:space="preserve"> </v>
      </c>
      <c r="AN44" s="181" t="str">
        <f>IF(PSI!D46=0," ",PSI!D46)</f>
        <v xml:space="preserve"> </v>
      </c>
      <c r="AO44" s="181" t="str">
        <f>IF(PSI!E46=0," ",PSI!E46)</f>
        <v xml:space="preserve"> </v>
      </c>
      <c r="AP44" s="181" t="str">
        <f>IF(PSI!F46=0," ",PSI!F46)</f>
        <v xml:space="preserve"> </v>
      </c>
      <c r="AQ44" s="199" t="str">
        <f>IF('REL.'!C46=0," ",'REL.'!C46)</f>
        <v xml:space="preserve"> </v>
      </c>
      <c r="AR44" s="18"/>
      <c r="AS44" s="18"/>
      <c r="AT44" s="18"/>
    </row>
    <row r="45" spans="1:46">
      <c r="A45" s="18"/>
      <c r="B45" s="86"/>
      <c r="C45" s="29"/>
      <c r="D45" s="29"/>
      <c r="E45" s="29"/>
      <c r="F45" s="29"/>
      <c r="G45" s="29"/>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18"/>
      <c r="AS45" s="18"/>
      <c r="AT45" s="18"/>
    </row>
    <row r="46" spans="1:46" ht="19.5" customHeight="1">
      <c r="A46" s="18"/>
      <c r="B46" s="105" t="s">
        <v>21</v>
      </c>
      <c r="C46" s="203">
        <f>COUNTIF(C4:C44,"&gt;50")</f>
        <v>25</v>
      </c>
      <c r="D46" s="203">
        <f t="shared" ref="D46:AQ46" si="0">COUNTIF(D4:D44,"&gt;50")</f>
        <v>0</v>
      </c>
      <c r="E46" s="203">
        <f t="shared" si="0"/>
        <v>0</v>
      </c>
      <c r="F46" s="203">
        <f t="shared" si="0"/>
        <v>0</v>
      </c>
      <c r="G46" s="203">
        <f t="shared" si="0"/>
        <v>27</v>
      </c>
      <c r="H46" s="203">
        <f t="shared" si="0"/>
        <v>0</v>
      </c>
      <c r="I46" s="203">
        <f t="shared" si="0"/>
        <v>0</v>
      </c>
      <c r="J46" s="203">
        <f t="shared" si="0"/>
        <v>0</v>
      </c>
      <c r="K46" s="203">
        <f t="shared" si="0"/>
        <v>25</v>
      </c>
      <c r="L46" s="203">
        <f t="shared" si="0"/>
        <v>0</v>
      </c>
      <c r="M46" s="203">
        <f t="shared" si="0"/>
        <v>0</v>
      </c>
      <c r="N46" s="203">
        <f t="shared" si="0"/>
        <v>0</v>
      </c>
      <c r="O46" s="203">
        <f t="shared" si="0"/>
        <v>33</v>
      </c>
      <c r="P46" s="203">
        <f t="shared" si="0"/>
        <v>0</v>
      </c>
      <c r="Q46" s="203">
        <f t="shared" si="0"/>
        <v>0</v>
      </c>
      <c r="R46" s="203">
        <f t="shared" si="0"/>
        <v>0</v>
      </c>
      <c r="S46" s="203">
        <f t="shared" si="0"/>
        <v>31</v>
      </c>
      <c r="T46" s="203">
        <f t="shared" si="0"/>
        <v>0</v>
      </c>
      <c r="U46" s="203">
        <f t="shared" si="0"/>
        <v>0</v>
      </c>
      <c r="V46" s="203">
        <f t="shared" si="0"/>
        <v>0</v>
      </c>
      <c r="W46" s="203">
        <f t="shared" si="0"/>
        <v>35</v>
      </c>
      <c r="X46" s="203">
        <f t="shared" si="0"/>
        <v>0</v>
      </c>
      <c r="Y46" s="203">
        <f t="shared" si="0"/>
        <v>0</v>
      </c>
      <c r="Z46" s="203">
        <f t="shared" si="0"/>
        <v>0</v>
      </c>
      <c r="AA46" s="203">
        <f t="shared" si="0"/>
        <v>27</v>
      </c>
      <c r="AB46" s="203">
        <f t="shared" si="0"/>
        <v>0</v>
      </c>
      <c r="AC46" s="203">
        <f t="shared" si="0"/>
        <v>0</v>
      </c>
      <c r="AD46" s="203">
        <f t="shared" si="0"/>
        <v>0</v>
      </c>
      <c r="AE46" s="203">
        <f t="shared" si="0"/>
        <v>31</v>
      </c>
      <c r="AF46" s="203">
        <f t="shared" si="0"/>
        <v>0</v>
      </c>
      <c r="AG46" s="203">
        <f t="shared" si="0"/>
        <v>0</v>
      </c>
      <c r="AH46" s="203">
        <f t="shared" si="0"/>
        <v>0</v>
      </c>
      <c r="AI46" s="203">
        <f t="shared" si="0"/>
        <v>33</v>
      </c>
      <c r="AJ46" s="203">
        <f t="shared" si="0"/>
        <v>0</v>
      </c>
      <c r="AK46" s="203">
        <f t="shared" si="0"/>
        <v>0</v>
      </c>
      <c r="AL46" s="203">
        <f t="shared" si="0"/>
        <v>0</v>
      </c>
      <c r="AM46" s="203">
        <f t="shared" si="0"/>
        <v>30</v>
      </c>
      <c r="AN46" s="203">
        <f t="shared" si="0"/>
        <v>0</v>
      </c>
      <c r="AO46" s="203">
        <f t="shared" si="0"/>
        <v>0</v>
      </c>
      <c r="AP46" s="203">
        <f t="shared" si="0"/>
        <v>0</v>
      </c>
      <c r="AQ46" s="203">
        <f t="shared" si="0"/>
        <v>35</v>
      </c>
      <c r="AR46" s="97">
        <f t="shared" ref="AR46:AT46" si="1">COUNTIF(AR4:AR43,"&gt;50")</f>
        <v>0</v>
      </c>
      <c r="AS46" s="97">
        <f t="shared" si="1"/>
        <v>0</v>
      </c>
      <c r="AT46" s="191">
        <f t="shared" si="1"/>
        <v>0</v>
      </c>
    </row>
    <row r="47" spans="1:46" ht="17.25" customHeight="1">
      <c r="A47" s="18"/>
      <c r="B47" s="105" t="s">
        <v>22</v>
      </c>
      <c r="C47" s="203">
        <f>COUNTIF(C4:C44,"&lt;50")</f>
        <v>10</v>
      </c>
      <c r="D47" s="203">
        <f t="shared" ref="D47:AQ47" si="2">COUNTIF(D4:D44,"&lt;50")</f>
        <v>0</v>
      </c>
      <c r="E47" s="203">
        <f t="shared" si="2"/>
        <v>0</v>
      </c>
      <c r="F47" s="203">
        <f t="shared" si="2"/>
        <v>35</v>
      </c>
      <c r="G47" s="203">
        <f t="shared" si="2"/>
        <v>8</v>
      </c>
      <c r="H47" s="203">
        <f t="shared" si="2"/>
        <v>0</v>
      </c>
      <c r="I47" s="203">
        <f t="shared" si="2"/>
        <v>0</v>
      </c>
      <c r="J47" s="203">
        <f t="shared" si="2"/>
        <v>35</v>
      </c>
      <c r="K47" s="203">
        <f t="shared" si="2"/>
        <v>10</v>
      </c>
      <c r="L47" s="203">
        <f t="shared" si="2"/>
        <v>0</v>
      </c>
      <c r="M47" s="203">
        <f t="shared" si="2"/>
        <v>0</v>
      </c>
      <c r="N47" s="203">
        <f t="shared" si="2"/>
        <v>35</v>
      </c>
      <c r="O47" s="203">
        <f t="shared" si="2"/>
        <v>2</v>
      </c>
      <c r="P47" s="203">
        <f t="shared" si="2"/>
        <v>0</v>
      </c>
      <c r="Q47" s="203">
        <f t="shared" si="2"/>
        <v>0</v>
      </c>
      <c r="R47" s="203">
        <f t="shared" si="2"/>
        <v>35</v>
      </c>
      <c r="S47" s="203">
        <f t="shared" si="2"/>
        <v>4</v>
      </c>
      <c r="T47" s="203">
        <f t="shared" si="2"/>
        <v>0</v>
      </c>
      <c r="U47" s="203">
        <f t="shared" si="2"/>
        <v>0</v>
      </c>
      <c r="V47" s="203">
        <f t="shared" si="2"/>
        <v>35</v>
      </c>
      <c r="W47" s="203">
        <f t="shared" si="2"/>
        <v>0</v>
      </c>
      <c r="X47" s="203">
        <f t="shared" si="2"/>
        <v>0</v>
      </c>
      <c r="Y47" s="203">
        <f t="shared" si="2"/>
        <v>0</v>
      </c>
      <c r="Z47" s="203">
        <f t="shared" si="2"/>
        <v>35</v>
      </c>
      <c r="AA47" s="203">
        <f t="shared" si="2"/>
        <v>8</v>
      </c>
      <c r="AB47" s="203">
        <f t="shared" si="2"/>
        <v>0</v>
      </c>
      <c r="AC47" s="203">
        <f t="shared" si="2"/>
        <v>0</v>
      </c>
      <c r="AD47" s="203">
        <f t="shared" si="2"/>
        <v>35</v>
      </c>
      <c r="AE47" s="203">
        <f t="shared" si="2"/>
        <v>4</v>
      </c>
      <c r="AF47" s="203">
        <f t="shared" si="2"/>
        <v>0</v>
      </c>
      <c r="AG47" s="203">
        <f t="shared" si="2"/>
        <v>0</v>
      </c>
      <c r="AH47" s="203">
        <f t="shared" si="2"/>
        <v>35</v>
      </c>
      <c r="AI47" s="203">
        <f t="shared" si="2"/>
        <v>2</v>
      </c>
      <c r="AJ47" s="203">
        <f t="shared" si="2"/>
        <v>0</v>
      </c>
      <c r="AK47" s="203">
        <f t="shared" si="2"/>
        <v>0</v>
      </c>
      <c r="AL47" s="203">
        <f t="shared" si="2"/>
        <v>35</v>
      </c>
      <c r="AM47" s="203">
        <f t="shared" si="2"/>
        <v>5</v>
      </c>
      <c r="AN47" s="203">
        <f t="shared" si="2"/>
        <v>0</v>
      </c>
      <c r="AO47" s="203">
        <f t="shared" si="2"/>
        <v>0</v>
      </c>
      <c r="AP47" s="203">
        <f t="shared" si="2"/>
        <v>35</v>
      </c>
      <c r="AQ47" s="203">
        <f t="shared" si="2"/>
        <v>0</v>
      </c>
      <c r="AR47" s="97">
        <f t="shared" ref="AR47:AT47" si="3">COUNTIF(AR4:AR43,"&lt;50")</f>
        <v>0</v>
      </c>
      <c r="AS47" s="97">
        <f t="shared" si="3"/>
        <v>0</v>
      </c>
      <c r="AT47" s="191">
        <f t="shared" si="3"/>
        <v>35</v>
      </c>
    </row>
    <row r="48" spans="1:46">
      <c r="A48" s="18"/>
      <c r="B48" s="106" t="s">
        <v>27</v>
      </c>
      <c r="C48" s="204">
        <f>SUM(C46:C47)</f>
        <v>35</v>
      </c>
      <c r="D48" s="205">
        <f>SUM(D46:D47)</f>
        <v>0</v>
      </c>
      <c r="E48" s="205">
        <f t="shared" ref="E48:AS48" si="4">SUM(E46:E47)</f>
        <v>0</v>
      </c>
      <c r="F48" s="206">
        <f t="shared" si="4"/>
        <v>35</v>
      </c>
      <c r="G48" s="207">
        <f t="shared" si="4"/>
        <v>35</v>
      </c>
      <c r="H48" s="205">
        <f t="shared" si="4"/>
        <v>0</v>
      </c>
      <c r="I48" s="205">
        <f t="shared" si="4"/>
        <v>0</v>
      </c>
      <c r="J48" s="205">
        <f t="shared" si="4"/>
        <v>35</v>
      </c>
      <c r="K48" s="204">
        <f t="shared" si="4"/>
        <v>35</v>
      </c>
      <c r="L48" s="205">
        <f t="shared" si="4"/>
        <v>0</v>
      </c>
      <c r="M48" s="205">
        <f t="shared" si="4"/>
        <v>0</v>
      </c>
      <c r="N48" s="206">
        <f t="shared" si="4"/>
        <v>35</v>
      </c>
      <c r="O48" s="207">
        <f t="shared" si="4"/>
        <v>35</v>
      </c>
      <c r="P48" s="205">
        <f t="shared" si="4"/>
        <v>0</v>
      </c>
      <c r="Q48" s="205">
        <f t="shared" si="4"/>
        <v>0</v>
      </c>
      <c r="R48" s="205">
        <f t="shared" si="4"/>
        <v>35</v>
      </c>
      <c r="S48" s="204">
        <f t="shared" si="4"/>
        <v>35</v>
      </c>
      <c r="T48" s="205">
        <f t="shared" si="4"/>
        <v>0</v>
      </c>
      <c r="U48" s="205">
        <f t="shared" si="4"/>
        <v>0</v>
      </c>
      <c r="V48" s="206">
        <f t="shared" ref="V48" si="5">SUM(V46:V47)</f>
        <v>35</v>
      </c>
      <c r="W48" s="207">
        <f t="shared" si="4"/>
        <v>35</v>
      </c>
      <c r="X48" s="205">
        <f t="shared" si="4"/>
        <v>0</v>
      </c>
      <c r="Y48" s="205">
        <f t="shared" si="4"/>
        <v>0</v>
      </c>
      <c r="Z48" s="205">
        <f t="shared" ref="Z48" si="6">SUM(Z46:Z47)</f>
        <v>35</v>
      </c>
      <c r="AA48" s="204">
        <f t="shared" si="4"/>
        <v>35</v>
      </c>
      <c r="AB48" s="205">
        <f t="shared" si="4"/>
        <v>0</v>
      </c>
      <c r="AC48" s="205">
        <f t="shared" si="4"/>
        <v>0</v>
      </c>
      <c r="AD48" s="206">
        <f t="shared" ref="AD48:AH48" si="7">SUM(AD46:AD47)</f>
        <v>35</v>
      </c>
      <c r="AE48" s="207">
        <f t="shared" si="7"/>
        <v>35</v>
      </c>
      <c r="AF48" s="205">
        <f t="shared" si="7"/>
        <v>0</v>
      </c>
      <c r="AG48" s="205">
        <f t="shared" si="7"/>
        <v>0</v>
      </c>
      <c r="AH48" s="205">
        <f t="shared" si="7"/>
        <v>35</v>
      </c>
      <c r="AI48" s="204">
        <f t="shared" si="4"/>
        <v>35</v>
      </c>
      <c r="AJ48" s="205">
        <f t="shared" si="4"/>
        <v>0</v>
      </c>
      <c r="AK48" s="205">
        <f t="shared" si="4"/>
        <v>0</v>
      </c>
      <c r="AL48" s="206">
        <f t="shared" ref="AL48" si="8">SUM(AL46:AL47)</f>
        <v>35</v>
      </c>
      <c r="AM48" s="204">
        <f t="shared" si="4"/>
        <v>35</v>
      </c>
      <c r="AN48" s="205">
        <f t="shared" si="4"/>
        <v>0</v>
      </c>
      <c r="AO48" s="205">
        <f t="shared" si="4"/>
        <v>0</v>
      </c>
      <c r="AP48" s="206">
        <f t="shared" ref="AP48" si="9">SUM(AP46:AP47)</f>
        <v>35</v>
      </c>
      <c r="AQ48" s="204">
        <f t="shared" si="4"/>
        <v>35</v>
      </c>
      <c r="AR48" s="98">
        <f t="shared" si="4"/>
        <v>0</v>
      </c>
      <c r="AS48" s="98">
        <f t="shared" si="4"/>
        <v>0</v>
      </c>
      <c r="AT48" s="99">
        <f t="shared" ref="AT48" si="10">SUM(AT46:AT47)</f>
        <v>35</v>
      </c>
    </row>
    <row r="49" spans="1:46">
      <c r="A49" s="18"/>
      <c r="B49" s="18"/>
      <c r="C49" s="199"/>
      <c r="D49" s="181"/>
      <c r="E49" s="181"/>
      <c r="F49" s="200"/>
      <c r="G49" s="208"/>
      <c r="H49" s="186"/>
      <c r="I49" s="186"/>
      <c r="J49" s="200"/>
      <c r="K49" s="199"/>
      <c r="L49" s="181"/>
      <c r="M49" s="181"/>
      <c r="N49" s="200"/>
      <c r="O49" s="201"/>
      <c r="P49" s="181"/>
      <c r="Q49" s="181"/>
      <c r="R49" s="200"/>
      <c r="S49" s="199"/>
      <c r="T49" s="181"/>
      <c r="U49" s="181"/>
      <c r="V49" s="200"/>
      <c r="W49" s="201"/>
      <c r="X49" s="181"/>
      <c r="Y49" s="181"/>
      <c r="Z49" s="181"/>
      <c r="AA49" s="199"/>
      <c r="AB49" s="181"/>
      <c r="AC49" s="181"/>
      <c r="AD49" s="200"/>
      <c r="AE49" s="201"/>
      <c r="AF49" s="181"/>
      <c r="AG49" s="181"/>
      <c r="AH49" s="181"/>
      <c r="AI49" s="199"/>
      <c r="AJ49" s="181"/>
      <c r="AK49" s="181"/>
      <c r="AL49" s="200"/>
      <c r="AM49" s="199"/>
      <c r="AN49" s="181"/>
      <c r="AO49" s="181"/>
      <c r="AP49" s="200"/>
      <c r="AQ49" s="199"/>
      <c r="AR49" s="48"/>
      <c r="AS49" s="48"/>
      <c r="AT49" s="95"/>
    </row>
    <row r="50" spans="1:46">
      <c r="A50" s="18"/>
      <c r="B50" s="106" t="s">
        <v>29</v>
      </c>
      <c r="C50" s="209">
        <f t="shared" ref="C50:AS50" si="11">((C46/C48)*100)</f>
        <v>71.428571428571431</v>
      </c>
      <c r="D50" s="210" t="e">
        <f t="shared" si="11"/>
        <v>#DIV/0!</v>
      </c>
      <c r="E50" s="210" t="e">
        <f t="shared" si="11"/>
        <v>#DIV/0!</v>
      </c>
      <c r="F50" s="211">
        <f t="shared" si="11"/>
        <v>0</v>
      </c>
      <c r="G50" s="212">
        <f t="shared" si="11"/>
        <v>77.142857142857153</v>
      </c>
      <c r="H50" s="210" t="e">
        <f t="shared" si="11"/>
        <v>#DIV/0!</v>
      </c>
      <c r="I50" s="210" t="e">
        <f t="shared" si="11"/>
        <v>#DIV/0!</v>
      </c>
      <c r="J50" s="210">
        <f t="shared" si="11"/>
        <v>0</v>
      </c>
      <c r="K50" s="209">
        <f t="shared" si="11"/>
        <v>71.428571428571431</v>
      </c>
      <c r="L50" s="210" t="e">
        <f t="shared" si="11"/>
        <v>#DIV/0!</v>
      </c>
      <c r="M50" s="210" t="e">
        <f t="shared" si="11"/>
        <v>#DIV/0!</v>
      </c>
      <c r="N50" s="211">
        <f t="shared" si="11"/>
        <v>0</v>
      </c>
      <c r="O50" s="212">
        <f t="shared" si="11"/>
        <v>94.285714285714278</v>
      </c>
      <c r="P50" s="210" t="e">
        <f t="shared" si="11"/>
        <v>#DIV/0!</v>
      </c>
      <c r="Q50" s="210" t="e">
        <f t="shared" si="11"/>
        <v>#DIV/0!</v>
      </c>
      <c r="R50" s="210">
        <f t="shared" si="11"/>
        <v>0</v>
      </c>
      <c r="S50" s="209">
        <f t="shared" si="11"/>
        <v>88.571428571428569</v>
      </c>
      <c r="T50" s="210" t="e">
        <f t="shared" si="11"/>
        <v>#DIV/0!</v>
      </c>
      <c r="U50" s="210" t="e">
        <f t="shared" si="11"/>
        <v>#DIV/0!</v>
      </c>
      <c r="V50" s="211">
        <f t="shared" ref="V50" si="12">((V46/V48)*100)</f>
        <v>0</v>
      </c>
      <c r="W50" s="212">
        <f t="shared" si="11"/>
        <v>100</v>
      </c>
      <c r="X50" s="210" t="e">
        <f t="shared" si="11"/>
        <v>#DIV/0!</v>
      </c>
      <c r="Y50" s="210" t="e">
        <f t="shared" si="11"/>
        <v>#DIV/0!</v>
      </c>
      <c r="Z50" s="210">
        <f t="shared" ref="Z50" si="13">((Z46/Z48)*100)</f>
        <v>0</v>
      </c>
      <c r="AA50" s="209">
        <f t="shared" si="11"/>
        <v>77.142857142857153</v>
      </c>
      <c r="AB50" s="210" t="e">
        <f t="shared" si="11"/>
        <v>#DIV/0!</v>
      </c>
      <c r="AC50" s="210" t="e">
        <f t="shared" si="11"/>
        <v>#DIV/0!</v>
      </c>
      <c r="AD50" s="211">
        <f t="shared" ref="AD50:AH50" si="14">((AD46/AD48)*100)</f>
        <v>0</v>
      </c>
      <c r="AE50" s="212">
        <f t="shared" si="14"/>
        <v>88.571428571428569</v>
      </c>
      <c r="AF50" s="210" t="e">
        <f t="shared" si="14"/>
        <v>#DIV/0!</v>
      </c>
      <c r="AG50" s="210" t="e">
        <f t="shared" si="14"/>
        <v>#DIV/0!</v>
      </c>
      <c r="AH50" s="210">
        <f t="shared" si="14"/>
        <v>0</v>
      </c>
      <c r="AI50" s="209">
        <f t="shared" si="11"/>
        <v>94.285714285714278</v>
      </c>
      <c r="AJ50" s="210" t="e">
        <f t="shared" si="11"/>
        <v>#DIV/0!</v>
      </c>
      <c r="AK50" s="210" t="e">
        <f t="shared" si="11"/>
        <v>#DIV/0!</v>
      </c>
      <c r="AL50" s="211">
        <f t="shared" ref="AL50" si="15">((AL46/AL48)*100)</f>
        <v>0</v>
      </c>
      <c r="AM50" s="209">
        <f t="shared" si="11"/>
        <v>85.714285714285708</v>
      </c>
      <c r="AN50" s="210" t="e">
        <f t="shared" si="11"/>
        <v>#DIV/0!</v>
      </c>
      <c r="AO50" s="210" t="e">
        <f t="shared" si="11"/>
        <v>#DIV/0!</v>
      </c>
      <c r="AP50" s="211">
        <f t="shared" ref="AP50" si="16">((AP46/AP48)*100)</f>
        <v>0</v>
      </c>
      <c r="AQ50" s="209">
        <f t="shared" si="11"/>
        <v>100</v>
      </c>
      <c r="AR50" s="100" t="e">
        <f t="shared" si="11"/>
        <v>#DIV/0!</v>
      </c>
      <c r="AS50" s="100" t="e">
        <f t="shared" si="11"/>
        <v>#DIV/0!</v>
      </c>
      <c r="AT50" s="192">
        <f t="shared" ref="AT50" si="17">((AT46/AT48)*100)</f>
        <v>0</v>
      </c>
    </row>
    <row r="51" spans="1:46">
      <c r="A51" s="18"/>
      <c r="B51" s="106" t="s">
        <v>28</v>
      </c>
      <c r="C51" s="209">
        <f>100-C50</f>
        <v>28.571428571428569</v>
      </c>
      <c r="D51" s="210" t="e">
        <f t="shared" ref="D51:AS51" si="18">100-D50</f>
        <v>#DIV/0!</v>
      </c>
      <c r="E51" s="210" t="e">
        <f t="shared" si="18"/>
        <v>#DIV/0!</v>
      </c>
      <c r="F51" s="211">
        <f t="shared" si="18"/>
        <v>100</v>
      </c>
      <c r="G51" s="212">
        <f t="shared" si="18"/>
        <v>22.857142857142847</v>
      </c>
      <c r="H51" s="210" t="e">
        <f t="shared" si="18"/>
        <v>#DIV/0!</v>
      </c>
      <c r="I51" s="210" t="e">
        <f t="shared" si="18"/>
        <v>#DIV/0!</v>
      </c>
      <c r="J51" s="210">
        <f t="shared" si="18"/>
        <v>100</v>
      </c>
      <c r="K51" s="209">
        <f t="shared" si="18"/>
        <v>28.571428571428569</v>
      </c>
      <c r="L51" s="210" t="e">
        <f t="shared" si="18"/>
        <v>#DIV/0!</v>
      </c>
      <c r="M51" s="210" t="e">
        <f t="shared" si="18"/>
        <v>#DIV/0!</v>
      </c>
      <c r="N51" s="211">
        <f t="shared" si="18"/>
        <v>100</v>
      </c>
      <c r="O51" s="212">
        <f t="shared" si="18"/>
        <v>5.7142857142857224</v>
      </c>
      <c r="P51" s="210" t="e">
        <f t="shared" si="18"/>
        <v>#DIV/0!</v>
      </c>
      <c r="Q51" s="210" t="e">
        <f t="shared" si="18"/>
        <v>#DIV/0!</v>
      </c>
      <c r="R51" s="210">
        <f t="shared" si="18"/>
        <v>100</v>
      </c>
      <c r="S51" s="209">
        <f t="shared" si="18"/>
        <v>11.428571428571431</v>
      </c>
      <c r="T51" s="210" t="e">
        <f t="shared" si="18"/>
        <v>#DIV/0!</v>
      </c>
      <c r="U51" s="210" t="e">
        <f t="shared" si="18"/>
        <v>#DIV/0!</v>
      </c>
      <c r="V51" s="211">
        <f t="shared" ref="V51" si="19">100-V50</f>
        <v>100</v>
      </c>
      <c r="W51" s="212">
        <f t="shared" si="18"/>
        <v>0</v>
      </c>
      <c r="X51" s="210" t="e">
        <f t="shared" si="18"/>
        <v>#DIV/0!</v>
      </c>
      <c r="Y51" s="210" t="e">
        <f t="shared" si="18"/>
        <v>#DIV/0!</v>
      </c>
      <c r="Z51" s="210">
        <f t="shared" ref="Z51" si="20">100-Z50</f>
        <v>100</v>
      </c>
      <c r="AA51" s="209">
        <f t="shared" si="18"/>
        <v>22.857142857142847</v>
      </c>
      <c r="AB51" s="210" t="e">
        <f t="shared" si="18"/>
        <v>#DIV/0!</v>
      </c>
      <c r="AC51" s="210" t="e">
        <f t="shared" si="18"/>
        <v>#DIV/0!</v>
      </c>
      <c r="AD51" s="211">
        <f t="shared" ref="AD51:AH51" si="21">100-AD50</f>
        <v>100</v>
      </c>
      <c r="AE51" s="212">
        <f t="shared" si="21"/>
        <v>11.428571428571431</v>
      </c>
      <c r="AF51" s="210" t="e">
        <f t="shared" si="21"/>
        <v>#DIV/0!</v>
      </c>
      <c r="AG51" s="210" t="e">
        <f t="shared" si="21"/>
        <v>#DIV/0!</v>
      </c>
      <c r="AH51" s="210">
        <f t="shared" si="21"/>
        <v>100</v>
      </c>
      <c r="AI51" s="209">
        <f t="shared" si="18"/>
        <v>5.7142857142857224</v>
      </c>
      <c r="AJ51" s="210" t="e">
        <f t="shared" si="18"/>
        <v>#DIV/0!</v>
      </c>
      <c r="AK51" s="210" t="e">
        <f t="shared" si="18"/>
        <v>#DIV/0!</v>
      </c>
      <c r="AL51" s="211">
        <f t="shared" ref="AL51" si="22">100-AL50</f>
        <v>100</v>
      </c>
      <c r="AM51" s="209">
        <f t="shared" si="18"/>
        <v>14.285714285714292</v>
      </c>
      <c r="AN51" s="210" t="e">
        <f t="shared" si="18"/>
        <v>#DIV/0!</v>
      </c>
      <c r="AO51" s="210" t="e">
        <f t="shared" si="18"/>
        <v>#DIV/0!</v>
      </c>
      <c r="AP51" s="211">
        <f t="shared" ref="AP51" si="23">100-AP50</f>
        <v>100</v>
      </c>
      <c r="AQ51" s="209">
        <f t="shared" si="18"/>
        <v>0</v>
      </c>
      <c r="AR51" s="100" t="e">
        <f t="shared" si="18"/>
        <v>#DIV/0!</v>
      </c>
      <c r="AS51" s="100" t="e">
        <f t="shared" si="18"/>
        <v>#DIV/0!</v>
      </c>
      <c r="AT51" s="192">
        <f t="shared" ref="AT51" si="24">100-AT50</f>
        <v>100</v>
      </c>
    </row>
    <row r="52" spans="1:46">
      <c r="A52" s="18"/>
      <c r="B52" s="18"/>
      <c r="C52" s="385" t="s">
        <v>36</v>
      </c>
      <c r="D52" s="381"/>
      <c r="E52" s="381"/>
      <c r="F52" s="386"/>
      <c r="G52" s="381" t="s">
        <v>10</v>
      </c>
      <c r="H52" s="381"/>
      <c r="I52" s="381"/>
      <c r="J52" s="386"/>
      <c r="K52" s="384" t="s">
        <v>58</v>
      </c>
      <c r="L52" s="377"/>
      <c r="M52" s="377"/>
      <c r="N52" s="383"/>
      <c r="O52" s="376" t="s">
        <v>59</v>
      </c>
      <c r="P52" s="377"/>
      <c r="Q52" s="377"/>
      <c r="R52" s="325"/>
      <c r="S52" s="384" t="s">
        <v>44</v>
      </c>
      <c r="T52" s="377"/>
      <c r="U52" s="377"/>
      <c r="V52" s="383"/>
      <c r="W52" s="376" t="s">
        <v>60</v>
      </c>
      <c r="X52" s="377"/>
      <c r="Y52" s="377"/>
      <c r="Z52" s="325"/>
      <c r="AA52" s="378" t="s">
        <v>8</v>
      </c>
      <c r="AB52" s="379"/>
      <c r="AC52" s="379"/>
      <c r="AD52" s="380"/>
      <c r="AE52" s="380" t="s">
        <v>101</v>
      </c>
      <c r="AF52" s="381"/>
      <c r="AG52" s="381"/>
      <c r="AH52" s="382"/>
      <c r="AI52" s="376" t="s">
        <v>48</v>
      </c>
      <c r="AJ52" s="377"/>
      <c r="AK52" s="377"/>
      <c r="AL52" s="383"/>
      <c r="AM52" s="384" t="s">
        <v>54</v>
      </c>
      <c r="AN52" s="377"/>
      <c r="AO52" s="377"/>
      <c r="AP52" s="383"/>
      <c r="AQ52" s="376" t="s">
        <v>65</v>
      </c>
      <c r="AR52" s="377"/>
      <c r="AS52" s="377"/>
      <c r="AT52" s="383"/>
    </row>
    <row r="53" spans="1:46">
      <c r="A53" s="18"/>
      <c r="B53" s="18"/>
      <c r="C53" s="29"/>
      <c r="D53" s="29"/>
      <c r="E53" s="29"/>
      <c r="F53" s="29"/>
      <c r="G53" s="29"/>
      <c r="H53" s="29"/>
      <c r="I53" s="29"/>
      <c r="J53" s="29"/>
      <c r="K53" s="29"/>
      <c r="L53" s="29"/>
      <c r="M53" s="29"/>
      <c r="N53" s="29"/>
      <c r="O53" s="29"/>
      <c r="P53" s="29"/>
      <c r="Q53" s="29"/>
      <c r="R53" s="29"/>
      <c r="S53" s="29"/>
      <c r="T53" s="29"/>
      <c r="U53" s="29"/>
      <c r="V53" s="29"/>
      <c r="W53" s="29"/>
      <c r="X53" s="29"/>
      <c r="Y53" s="29"/>
      <c r="Z53" s="29"/>
      <c r="AA53" s="29"/>
      <c r="AB53" s="29"/>
      <c r="AC53" s="29"/>
      <c r="AD53" s="29"/>
      <c r="AE53" s="29"/>
      <c r="AF53" s="29"/>
      <c r="AG53" s="29"/>
      <c r="AH53" s="29"/>
      <c r="AI53" s="29"/>
      <c r="AJ53" s="29"/>
      <c r="AK53" s="29"/>
      <c r="AL53" s="29"/>
      <c r="AM53" s="29"/>
      <c r="AN53" s="29"/>
      <c r="AO53" s="29"/>
      <c r="AP53" s="29"/>
      <c r="AQ53" s="29"/>
      <c r="AR53" s="18"/>
      <c r="AS53" s="18"/>
      <c r="AT53" s="18"/>
    </row>
    <row r="54" spans="1:46">
      <c r="A54" s="18"/>
      <c r="B54" s="18"/>
      <c r="C54" s="29"/>
      <c r="D54" s="29"/>
      <c r="E54" s="29"/>
      <c r="F54" s="29"/>
      <c r="G54" s="29"/>
      <c r="H54" s="29"/>
      <c r="I54" s="29"/>
      <c r="J54" s="29"/>
      <c r="K54" s="29"/>
      <c r="L54" s="29"/>
      <c r="M54" s="29"/>
      <c r="N54" s="29"/>
      <c r="O54" s="29"/>
      <c r="P54" s="29"/>
      <c r="Q54" s="29"/>
      <c r="R54" s="29"/>
      <c r="S54" s="29"/>
      <c r="T54" s="29"/>
      <c r="U54" s="29"/>
      <c r="V54" s="29"/>
      <c r="W54" s="29"/>
      <c r="X54" s="29"/>
      <c r="Y54" s="29"/>
      <c r="Z54" s="29"/>
      <c r="AA54" s="29"/>
      <c r="AB54" s="29"/>
      <c r="AC54" s="29"/>
      <c r="AD54" s="29"/>
      <c r="AE54" s="29"/>
      <c r="AF54" s="29"/>
      <c r="AG54" s="29"/>
      <c r="AH54" s="29"/>
      <c r="AI54" s="29"/>
      <c r="AJ54" s="29"/>
      <c r="AK54" s="29"/>
      <c r="AL54" s="29"/>
      <c r="AM54" s="29"/>
      <c r="AN54" s="29"/>
      <c r="AO54" s="29"/>
      <c r="AP54" s="29"/>
      <c r="AQ54" s="29"/>
      <c r="AR54" s="18"/>
      <c r="AS54" s="18"/>
      <c r="AT54" s="18"/>
    </row>
    <row r="55" spans="1:46">
      <c r="A55" s="18"/>
      <c r="B55" s="18"/>
      <c r="C55" s="29"/>
      <c r="D55" s="29"/>
      <c r="E55" s="29"/>
      <c r="F55" s="29"/>
      <c r="G55" s="29"/>
      <c r="H55" s="29"/>
      <c r="I55" s="29"/>
      <c r="J55" s="29"/>
      <c r="K55" s="29"/>
      <c r="L55" s="29"/>
      <c r="M55" s="29"/>
      <c r="N55" s="29"/>
      <c r="O55" s="29"/>
      <c r="P55" s="29"/>
      <c r="Q55" s="29"/>
      <c r="R55" s="29"/>
      <c r="S55" s="29"/>
      <c r="T55" s="29"/>
      <c r="U55" s="29"/>
      <c r="V55" s="29"/>
      <c r="W55" s="29"/>
      <c r="X55" s="29"/>
      <c r="Y55" s="29"/>
      <c r="Z55" s="29"/>
      <c r="AA55" s="29"/>
      <c r="AB55" s="29"/>
      <c r="AC55" s="29"/>
      <c r="AD55" s="29"/>
      <c r="AE55" s="29"/>
      <c r="AF55" s="29"/>
      <c r="AG55" s="29"/>
      <c r="AH55" s="29"/>
      <c r="AI55" s="29"/>
      <c r="AJ55" s="29"/>
      <c r="AK55" s="29"/>
      <c r="AL55" s="29"/>
      <c r="AM55" s="29"/>
      <c r="AN55" s="29"/>
      <c r="AO55" s="29"/>
      <c r="AP55" s="29"/>
      <c r="AQ55" s="29"/>
      <c r="AR55" s="18"/>
      <c r="AS55" s="18"/>
      <c r="AT55" s="18"/>
    </row>
    <row r="56" spans="1:46">
      <c r="A56" s="18"/>
      <c r="B56" s="18"/>
      <c r="C56" s="29"/>
      <c r="D56" s="29"/>
      <c r="E56" s="29"/>
      <c r="F56" s="29"/>
      <c r="G56" s="29"/>
      <c r="H56" s="29"/>
      <c r="I56" s="29"/>
      <c r="J56" s="29"/>
      <c r="K56" s="29"/>
      <c r="L56" s="29"/>
      <c r="M56" s="29"/>
      <c r="N56" s="29"/>
      <c r="O56" s="29"/>
      <c r="P56" s="29"/>
      <c r="Q56" s="29"/>
      <c r="R56" s="29"/>
      <c r="S56" s="29"/>
      <c r="T56" s="29"/>
      <c r="U56" s="29"/>
      <c r="V56" s="29"/>
      <c r="W56" s="29"/>
      <c r="X56" s="29"/>
      <c r="Y56" s="29"/>
      <c r="Z56" s="29"/>
      <c r="AA56" s="29"/>
      <c r="AB56" s="29"/>
      <c r="AC56" s="29"/>
      <c r="AD56" s="29"/>
      <c r="AE56" s="29"/>
      <c r="AF56" s="29"/>
      <c r="AG56" s="29"/>
      <c r="AH56" s="29"/>
      <c r="AI56" s="29"/>
      <c r="AJ56" s="29"/>
      <c r="AK56" s="29"/>
      <c r="AL56" s="29"/>
      <c r="AM56" s="29"/>
      <c r="AN56" s="29"/>
      <c r="AO56" s="29"/>
      <c r="AP56" s="29"/>
      <c r="AQ56" s="29"/>
      <c r="AR56" s="18"/>
      <c r="AS56" s="18"/>
      <c r="AT56" s="18"/>
    </row>
  </sheetData>
  <mergeCells count="67">
    <mergeCell ref="V2:V3"/>
    <mergeCell ref="Z2:Z3"/>
    <mergeCell ref="AD2:AD3"/>
    <mergeCell ref="AE2:AE3"/>
    <mergeCell ref="H2:H3"/>
    <mergeCell ref="I2:I3"/>
    <mergeCell ref="J2:J3"/>
    <mergeCell ref="N2:N3"/>
    <mergeCell ref="R2:R3"/>
    <mergeCell ref="AB2:AB3"/>
    <mergeCell ref="AC2:AC3"/>
    <mergeCell ref="AQ52:AT52"/>
    <mergeCell ref="O2:O3"/>
    <mergeCell ref="P2:P3"/>
    <mergeCell ref="Q2:Q3"/>
    <mergeCell ref="C52:F52"/>
    <mergeCell ref="G52:J52"/>
    <mergeCell ref="K52:N52"/>
    <mergeCell ref="O52:R52"/>
    <mergeCell ref="K2:K3"/>
    <mergeCell ref="L2:L3"/>
    <mergeCell ref="M2:M3"/>
    <mergeCell ref="S2:S3"/>
    <mergeCell ref="T2:T3"/>
    <mergeCell ref="U2:U3"/>
    <mergeCell ref="S52:V52"/>
    <mergeCell ref="F2:F3"/>
    <mergeCell ref="W52:Z52"/>
    <mergeCell ref="AA52:AD52"/>
    <mergeCell ref="AE52:AH52"/>
    <mergeCell ref="AI52:AL52"/>
    <mergeCell ref="AM52:AP52"/>
    <mergeCell ref="B1:B2"/>
    <mergeCell ref="C2:C3"/>
    <mergeCell ref="D2:D3"/>
    <mergeCell ref="E2:E3"/>
    <mergeCell ref="AA2:AA3"/>
    <mergeCell ref="Y2:Y3"/>
    <mergeCell ref="W2:W3"/>
    <mergeCell ref="X2:X3"/>
    <mergeCell ref="K1:N1"/>
    <mergeCell ref="C1:F1"/>
    <mergeCell ref="G1:J1"/>
    <mergeCell ref="W1:Z1"/>
    <mergeCell ref="S1:V1"/>
    <mergeCell ref="O1:R1"/>
    <mergeCell ref="AA1:AD1"/>
    <mergeCell ref="G2:G3"/>
    <mergeCell ref="AE1:AH1"/>
    <mergeCell ref="AF2:AF3"/>
    <mergeCell ref="AG2:AG3"/>
    <mergeCell ref="AH2:AH3"/>
    <mergeCell ref="AL2:AL3"/>
    <mergeCell ref="AI1:AL1"/>
    <mergeCell ref="AK2:AK3"/>
    <mergeCell ref="AI2:AI3"/>
    <mergeCell ref="AJ2:AJ3"/>
    <mergeCell ref="AQ1:AT1"/>
    <mergeCell ref="AM1:AP1"/>
    <mergeCell ref="AP2:AP3"/>
    <mergeCell ref="AT2:AT3"/>
    <mergeCell ref="AM2:AM3"/>
    <mergeCell ref="AQ2:AQ3"/>
    <mergeCell ref="AO2:AO3"/>
    <mergeCell ref="AR2:AR3"/>
    <mergeCell ref="AS2:AS3"/>
    <mergeCell ref="AN2:AN3"/>
  </mergeCells>
  <conditionalFormatting sqref="C4:AT43 C44:AQ44">
    <cfRule type="cellIs" dxfId="1" priority="3" operator="lessThan">
      <formula>51</formula>
    </cfRule>
  </conditionalFormatting>
  <conditionalFormatting sqref="C4:AT45">
    <cfRule type="cellIs" dxfId="0" priority="4" operator="lessThan">
      <formula>36</formula>
    </cfRule>
  </conditionalFormatting>
  <pageMargins left="0.19685039370078741" right="0.23622047244094491" top="0.31496062992125984" bottom="0.23622047244094491" header="0.23622047244094491" footer="0.15748031496062992"/>
  <pageSetup paperSize="345" scale="90" orientation="landscape" horizontalDpi="4294967294"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Hoja23"/>
  <dimension ref="A1"/>
  <sheetViews>
    <sheetView workbookViewId="0">
      <selection activeCell="K13" sqref="K13"/>
    </sheetView>
  </sheetViews>
  <sheetFormatPr defaultColWidth="11.425781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NOMINA</vt:lpstr>
      <vt:lpstr>LEN</vt:lpstr>
      <vt:lpstr>ING</vt:lpstr>
      <vt:lpstr>C.SOC</vt:lpstr>
      <vt:lpstr>E. FIS.</vt:lpstr>
      <vt:lpstr>MUS.</vt:lpstr>
      <vt:lpstr>A.PL. </vt:lpstr>
      <vt:lpstr>MAT</vt:lpstr>
      <vt:lpstr>T. TEC. GRAL</vt:lpstr>
      <vt:lpstr>BIO-GEO</vt:lpstr>
      <vt:lpstr>PSI</vt:lpstr>
      <vt:lpstr>REL.</vt:lpstr>
      <vt:lpstr>BOLET.</vt:lpstr>
      <vt:lpstr>PROM.</vt:lpstr>
      <vt:lpstr>GRAL.</vt:lpstr>
      <vt:lpstr>REP 1°</vt:lpstr>
      <vt:lpstr>REP 2°</vt:lpstr>
      <vt:lpstr>REP 3°</vt:lpstr>
      <vt:lpstr>REP.FINAL</vt:lpstr>
      <vt:lpstr>GRAF.</vt:lpstr>
      <vt:lpstr>ANUAL</vt:lpstr>
      <vt:lpstr>GRAL. (2)</vt:lpstr>
      <vt:lpstr>Hoja1</vt:lpstr>
    </vt:vector>
  </TitlesOfParts>
  <Company>Windows XP Titan Ultimate Edition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NETHUNTER</cp:lastModifiedBy>
  <cp:lastPrinted>2025-05-10T05:05:01Z</cp:lastPrinted>
  <dcterms:created xsi:type="dcterms:W3CDTF">2011-06-05T01:14:56Z</dcterms:created>
  <dcterms:modified xsi:type="dcterms:W3CDTF">2026-05-13T02:12:37Z</dcterms:modified>
</cp:coreProperties>
</file>